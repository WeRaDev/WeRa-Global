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atbot Playbook" sheetId="2" state="visible" r:id="rId2"/>
    <sheet xmlns:r="http://schemas.openxmlformats.org/officeDocument/2006/relationships" name="Data Model" sheetId="3" state="visible" r:id="rId3"/>
    <sheet xmlns:r="http://schemas.openxmlformats.org/officeDocument/2006/relationships" name="Evidence Inputs" sheetId="4" state="visible" r:id="rId4"/>
    <sheet xmlns:r="http://schemas.openxmlformats.org/officeDocument/2006/relationships" name="ROI Model" sheetId="5" state="visible" r:id="rId5"/>
    <sheet xmlns:r="http://schemas.openxmlformats.org/officeDocument/2006/relationships" name="Controls &amp; Score" sheetId="6" state="visible" r:id="rId6"/>
    <sheet xmlns:r="http://schemas.openxmlformats.org/officeDocument/2006/relationships" name="Implementation Pla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;(#,##0.0);-"/>
    <numFmt numFmtId="165" formatCode="0.0%;(0.0%);-"/>
    <numFmt numFmtId="166" formatCode="$#,##0;($#,##0);-"/>
    <numFmt numFmtId="167" formatCode="#,##0;(#,##0);-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DDEBF7"/>
      <sz val="10"/>
    </font>
    <font>
      <name val="Calibri"/>
      <b val="1"/>
      <color rgb="00FFFFFF"/>
      <sz val="12"/>
    </font>
    <font>
      <name val="Calibri"/>
      <color rgb="000563C1"/>
      <sz val="10"/>
      <u val="single"/>
    </font>
    <font>
      <name val="Calibri"/>
      <b val="1"/>
      <color rgb="0017365D"/>
      <sz val="10"/>
    </font>
    <font>
      <name val="Calibri"/>
      <color rgb="00008000"/>
      <sz val="10"/>
    </font>
    <font>
      <name val="Calibri"/>
      <b val="1"/>
      <color rgb="0026828E"/>
    </font>
    <font>
      <name val="Calibri"/>
      <sz val="10"/>
    </font>
    <font>
      <name val="Calibri"/>
      <color rgb="000000FF"/>
      <sz val="10"/>
    </font>
    <font>
      <name val="Calibri"/>
      <i val="1"/>
      <color rgb="00666666"/>
      <sz val="9"/>
    </font>
    <font>
      <name val="Calibri"/>
      <color rgb="00000000"/>
      <sz val="10"/>
    </font>
    <font>
      <name val="Calibri"/>
      <b val="1"/>
      <color rgb="0017365D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6828E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wrapText="1"/>
    </xf>
    <xf numFmtId="0" fontId="3" fillId="3" borderId="0" applyAlignment="1" pivotButton="0" quotePrefix="0" xfId="0">
      <alignment vertical="top"/>
    </xf>
    <xf numFmtId="0" fontId="0" fillId="3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164" fontId="6" fillId="4" borderId="0" applyAlignment="1" pivotButton="0" quotePrefix="0" xfId="0">
      <alignment vertical="top"/>
    </xf>
    <xf numFmtId="166" fontId="6" fillId="4" borderId="0" applyAlignment="1" pivotButton="0" quotePrefix="0" xfId="0">
      <alignment vertical="top"/>
    </xf>
    <xf numFmtId="165" fontId="6" fillId="4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13" fillId="6" borderId="0" applyAlignment="1" pivotButton="0" quotePrefix="0" xfId="0">
      <alignment horizontal="center" wrapText="1"/>
    </xf>
    <xf numFmtId="0" fontId="8" fillId="0" borderId="0" applyAlignment="1" pivotButton="0" quotePrefix="0" xfId="0">
      <alignment vertical="top" wrapText="1"/>
    </xf>
    <xf numFmtId="0" fontId="9" fillId="5" borderId="0" pivotButton="0" quotePrefix="0" xfId="0"/>
    <xf numFmtId="0" fontId="10" fillId="0" borderId="0" applyAlignment="1" pivotButton="0" quotePrefix="0" xfId="0">
      <alignment vertical="top"/>
    </xf>
    <xf numFmtId="167" fontId="9" fillId="5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165" fontId="9" fillId="5" borderId="0" applyAlignment="1" pivotButton="0" quotePrefix="0" xfId="0">
      <alignment vertical="top" wrapText="1"/>
    </xf>
    <xf numFmtId="166" fontId="9" fillId="5" borderId="0" applyAlignment="1" pivotButton="0" quotePrefix="0" xfId="0">
      <alignment vertical="top" wrapText="1"/>
    </xf>
    <xf numFmtId="164" fontId="9" fillId="5" borderId="0" applyAlignment="1" pivotButton="0" quotePrefix="0" xfId="0">
      <alignment vertical="top" wrapText="1"/>
    </xf>
    <xf numFmtId="0" fontId="9" fillId="5" borderId="0" applyAlignment="1" pivotButton="0" quotePrefix="0" xfId="0">
      <alignment wrapText="1"/>
    </xf>
    <xf numFmtId="164" fontId="9" fillId="5" borderId="0" applyAlignment="1" pivotButton="0" quotePrefix="0" xfId="0">
      <alignment wrapText="1"/>
    </xf>
    <xf numFmtId="166" fontId="9" fillId="5" borderId="0" applyAlignment="1" pivotButton="0" quotePrefix="0" xfId="0">
      <alignment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167" fontId="6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166" fontId="6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7" fontId="9" fillId="5" borderId="0" pivotButton="0" quotePrefix="0" xfId="0"/>
    <xf numFmtId="164" fontId="8" fillId="0" borderId="0" applyAlignment="1" pivotButton="0" quotePrefix="0" xfId="0">
      <alignment vertical="top"/>
    </xf>
    <xf numFmtId="165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Perplexity</author>
  </authors>
  <commentList>
    <comment ref="E6" authorId="0" shapeId="0">
      <text>
        <t>Provide organization-approved notice describing purpose, retention, access and sharing before substantive collection.</t>
      </text>
    </comment>
  </commentList>
</comments>
</file>

<file path=xl/comments/comment2.xml><?xml version="1.0" encoding="utf-8"?>
<comments xmlns="http://schemas.openxmlformats.org/spreadsheetml/2006/main">
  <authors>
    <author>Perplexity</author>
  </authors>
  <commentList>
    <comment ref="B25" authorId="0" shapeId="0">
      <text>
        <t>Financial benefit excludes released capacity unless a separate economic consequence is evidenced.</t>
      </text>
    </comment>
  </commentList>
</comments>
</file>

<file path=xl/comments/comment3.xml><?xml version="1.0" encoding="utf-8"?>
<comments xmlns="http://schemas.openxmlformats.org/spreadsheetml/2006/main">
  <authors>
    <author>Perplexity</author>
  </authors>
  <commentList>
    <comment ref="B32" authorId="0" shapeId="0">
      <text>
        <t>Apply the firm’s actual jurisdiction and responsible compliance/counsel interpretation.</t>
      </text>
    </comment>
  </commentList>
</comments>
</file>

<file path=xl/tables/table1.xml><?xml version="1.0" encoding="utf-8"?>
<table xmlns="http://schemas.openxmlformats.org/spreadsheetml/2006/main" id="1" name="ChatQuestions" displayName="ChatQuestions" ref="B5:J41" headerRowCount="1">
  <autoFilter ref="B5:J41"/>
  <tableColumns count="9">
    <tableColumn id="2" name="Route"/>
    <tableColumn id="3" name="ID"/>
    <tableColumn id="4" name="State"/>
    <tableColumn id="5" name="Question / action"/>
    <tableColumn id="6" name="Captured field"/>
    <tableColumn id="7" name="Required"/>
    <tableColumn id="8" name="Probe trigger"/>
    <tableColumn id="9" name="Neutral probe / controls"/>
    <tableColumn id="10" name="Escalate when"/>
  </tableColumns>
  <tableStyleInfo name="TableStyleMedium2" showRowStripes="1"/>
</table>
</file>

<file path=xl/tables/table2.xml><?xml version="1.0" encoding="utf-8"?>
<table xmlns="http://schemas.openxmlformats.org/spreadsheetml/2006/main" id="2" name="LogicalModel" displayName="LogicalModel" ref="B5:I35" headerRowCount="1">
  <autoFilter ref="B5:I35"/>
  <tableColumns count="8">
    <tableColumn id="2" name="Entity"/>
    <tableColumn id="3" name="Field"/>
    <tableColumn id="4" name="Type"/>
    <tableColumn id="5" name="Required"/>
    <tableColumn id="6" name="Definition / values"/>
    <tableColumn id="7" name="Source owner"/>
    <tableColumn id="8" name="Sensitivity"/>
    <tableColumn id="9" name="Validation rule"/>
  </tableColumns>
  <tableStyleInfo name="TableStyleMedium2" showRowStripes="1"/>
</table>
</file>

<file path=xl/tables/table3.xml><?xml version="1.0" encoding="utf-8"?>
<table xmlns="http://schemas.openxmlformats.org/spreadsheetml/2006/main" id="3" name="ScenarioInputs" displayName="ScenarioInputs" ref="B21:L40" headerRowCount="1">
  <autoFilter ref="B21:L40"/>
  <tableColumns count="11">
    <tableColumn id="2" name="Key"/>
    <tableColumn id="3" name="Input"/>
    <tableColumn id="4" name="Low"/>
    <tableColumn id="5" name="Expected"/>
    <tableColumn id="6" name="High"/>
    <tableColumn id="7" name="Unit"/>
    <tableColumn id="8" name="Grade"/>
    <tableColumn id="9" name="Source role"/>
    <tableColumn id="10" name="Evidence type"/>
    <tableColumn id="11" name="Validation owner"/>
    <tableColumn id="12" name="Notes"/>
  </tableColumns>
  <tableStyleInfo name="TableStyleMedium2" showRowStripes="1"/>
</table>
</file>

<file path=xl/tables/table4.xml><?xml version="1.0" encoding="utf-8"?>
<table xmlns="http://schemas.openxmlformats.org/spreadsheetml/2006/main" id="4" name="RoleEffort" displayName="RoleEffort" ref="B45:M53" headerRowCount="1">
  <autoFilter ref="B45:M53"/>
  <tableColumns count="12">
    <tableColumn id="2" name="Role"/>
    <tableColumn id="3" name="Baseline hrs Low"/>
    <tableColumn id="4" name="Baseline hrs Expected"/>
    <tableColumn id="5" name="Baseline hrs High"/>
    <tableColumn id="6" name="Assisted hrs Low"/>
    <tableColumn id="7" name="Assisted hrs Expected"/>
    <tableColumn id="8" name="Assisted hrs High"/>
    <tableColumn id="9" name="Cost/hr Low"/>
    <tableColumn id="10" name="Cost/hr Expected"/>
    <tableColumn id="11" name="Cost/hr High"/>
    <tableColumn id="12" name="Grade"/>
    <tableColumn id="13" name="Source / notes"/>
  </tableColumns>
  <tableStyleInfo name="TableStyleMedium2" showRowStripes="1"/>
</table>
</file>

<file path=xl/tables/table5.xml><?xml version="1.0" encoding="utf-8"?>
<table xmlns="http://schemas.openxmlformats.org/spreadsheetml/2006/main" id="5" name="UseCaseScore" displayName="UseCaseScore" ref="B7:G16" headerRowCount="1">
  <autoFilter ref="B7:G16"/>
  <tableColumns count="6">
    <tableColumn id="2" name="Criterion"/>
    <tableColumn id="3" name="Weight"/>
    <tableColumn id="4" name="Score 1–5"/>
    <tableColumn id="5" name="Weighted points"/>
    <tableColumn id="6" name="Evidence"/>
    <tableColumn id="7" name="Blocking rule"/>
  </tableColumns>
  <tableStyleInfo name="TableStyleMedium2" showRowStripes="1"/>
</table>
</file>

<file path=xl/tables/table6.xml><?xml version="1.0" encoding="utf-8"?>
<table xmlns="http://schemas.openxmlformats.org/spreadsheetml/2006/main" id="6" name="HardGates" displayName="HardGates" ref="B23:G30" headerRowCount="1">
  <autoFilter ref="B23:G30"/>
  <tableColumns count="6">
    <tableColumn id="2" name="Gate"/>
    <tableColumn id="3" name="Requirement"/>
    <tableColumn id="4" name="Status"/>
    <tableColumn id="5" name="Owner"/>
    <tableColumn id="6" name="Evidence / action"/>
    <tableColumn id="7" name="Impact"/>
  </tableColumns>
  <tableStyleInfo name="TableStyleMedium2" showRowStripes="1"/>
</table>
</file>

<file path=xl/tables/table7.xml><?xml version="1.0" encoding="utf-8"?>
<table xmlns="http://schemas.openxmlformats.org/spreadsheetml/2006/main" id="7" name="DataMap" displayName="DataMap" ref="B37:K47" headerRowCount="1">
  <autoFilter ref="B37:K47"/>
  <tableColumns count="10">
    <tableColumn id="2" name="Data category"/>
    <tableColumn id="3" name="Purpose"/>
    <tableColumn id="4" name="Source system"/>
    <tableColumn id="5" name="Sensitivity"/>
    <tableColumn id="6" name="Permission"/>
    <tableColumn id="7" name="Storage/region"/>
    <tableColumn id="8" name="Retention/deletion"/>
    <tableColumn id="9" name="Human access"/>
    <tableColumn id="10" name="Agent access"/>
    <tableColumn id="11" name="Status"/>
  </tableColumns>
  <tableStyleInfo name="TableStyleMedium2" showRowStripes="1"/>
</table>
</file>

<file path=xl/tables/table8.xml><?xml version="1.0" encoding="utf-8"?>
<table xmlns="http://schemas.openxmlformats.org/spreadsheetml/2006/main" id="8" name="Architecture" displayName="Architecture" ref="B7:G16" headerRowCount="1">
  <autoFilter ref="B7:G16"/>
  <tableColumns count="6">
    <tableColumn id="2" name="Component"/>
    <tableColumn id="3" name="Purpose"/>
    <tableColumn id="4" name="MVP boundary"/>
    <tableColumn id="5" name="Key control"/>
    <tableColumn id="6" name="Owner"/>
    <tableColumn id="7" name="Acceptance evidence"/>
  </tableColumns>
  <tableStyleInfo name="TableStyleMedium2" showRowStripes="1"/>
</table>
</file>

<file path=xl/tables/table9.xml><?xml version="1.0" encoding="utf-8"?>
<table xmlns="http://schemas.openxmlformats.org/spreadsheetml/2006/main" id="9" name="DeliveryPhases" displayName="DeliveryPhases" ref="B21:G30" headerRowCount="1">
  <autoFilter ref="B21:G30"/>
  <tableColumns count="6">
    <tableColumn id="2" name="Phase"/>
    <tableColumn id="3" name="Span"/>
    <tableColumn id="4" name="Main work"/>
    <tableColumn id="5" name="Exit deliverable"/>
    <tableColumn id="6" name="Decision gate"/>
    <tableColumn id="7" name="Owners"/>
  </tableColumns>
  <tableStyleInfo name="TableStyleMedium2" showRowStripes="1"/>
</table>
</file>

<file path=xl/tables/table10.xml><?xml version="1.0" encoding="utf-8"?>
<table xmlns="http://schemas.openxmlformats.org/spreadsheetml/2006/main" id="10" name="PilotMeasures" displayName="PilotMeasures" ref="B35:G43" headerRowCount="1">
  <autoFilter ref="B35:G43"/>
  <tableColumns count="6">
    <tableColumn id="2" name="Measure"/>
    <tableColumn id="3" name="Logic"/>
    <tableColumn id="4" name="Evidence"/>
    <tableColumn id="5" name="Stop / guardrail"/>
    <tableColumn id="6" name="Owner"/>
    <tableColumn id="7" name="Cad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Relationship Type="http://schemas.openxmlformats.org/officeDocument/2006/relationships/table" Target="/xl/tables/table10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5" customWidth="1" min="2" max="2"/>
    <col width="25" customWidth="1" min="3" max="3"/>
    <col width="3" customWidth="1" min="4" max="4"/>
    <col width="29" customWidth="1" min="5" max="5"/>
    <col width="20" customWidth="1" min="6" max="6"/>
    <col width="3" customWidth="1" min="7" max="7"/>
    <col width="27" customWidth="1" min="8" max="8"/>
    <col width="21" customWidth="1" min="9" max="9"/>
    <col width="21" customWidth="1" min="10" max="10"/>
    <col width="21" customWidth="1" min="11" max="11"/>
  </cols>
  <sheetData>
    <row r="1"/>
    <row r="2" ht="30" customHeight="1">
      <c r="B2" s="1" t="inlineStr">
        <is>
          <t>Financial-Advisory Automation Discovery MVP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8" customHeight="1">
      <c r="B3" s="3" t="inlineStr">
        <is>
          <t>Chatbot-led evidence collection, ROI screening, hard control gates, and supervised-pilot planning.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/>
    <row r="5" ht="22" customHeight="1">
      <c r="B5" s="4" t="inlineStr">
        <is>
          <t>Workbook navigation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/>
    <row r="7">
      <c r="B7" s="6" t="inlineStr">
        <is>
          <t>Chatbot Playbook</t>
        </is>
      </c>
      <c r="C7" s="7" t="inlineStr">
        <is>
          <t>Questions, routes, probes and escalation</t>
        </is>
      </c>
    </row>
    <row r="8">
      <c r="B8" s="6" t="inlineStr">
        <is>
          <t>Data Model</t>
        </is>
      </c>
      <c r="C8" s="7" t="inlineStr">
        <is>
          <t>Implementation-oriented logical schema</t>
        </is>
      </c>
    </row>
    <row r="9">
      <c r="B9" s="6" t="inlineStr">
        <is>
          <t>Evidence Inputs</t>
        </is>
      </c>
      <c r="C9" s="7" t="inlineStr">
        <is>
          <t>Use-case, scenarios and role effort</t>
        </is>
      </c>
    </row>
    <row r="10">
      <c r="B10" s="6" t="inlineStr">
        <is>
          <t>ROI Model</t>
        </is>
      </c>
      <c r="C10" s="7" t="inlineStr">
        <is>
          <t>Capacity, benefit, cost and break-even</t>
        </is>
      </c>
    </row>
    <row r="11">
      <c r="B11" s="6" t="inlineStr">
        <is>
          <t>Controls &amp; Score</t>
        </is>
      </c>
      <c r="C11" s="7" t="inlineStr">
        <is>
          <t>Prioritization, hard gates and data map</t>
        </is>
      </c>
    </row>
    <row r="12">
      <c r="B12" s="6" t="inlineStr">
        <is>
          <t>Implementation Plan</t>
        </is>
      </c>
      <c r="C12" s="7" t="inlineStr">
        <is>
          <t>Architecture, delivery phases, QA and pricing</t>
        </is>
      </c>
    </row>
    <row r="13"/>
    <row r="14"/>
    <row r="15" ht="22" customHeight="1">
      <c r="B15" s="4" t="inlineStr">
        <is>
          <t>Decision dashboard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/>
    <row r="17">
      <c r="B17" s="8" t="inlineStr">
        <is>
          <t>Selected use case</t>
        </is>
      </c>
      <c r="C17" s="9">
        <f>'Evidence Inputs'!C6</f>
        <v/>
      </c>
      <c r="E17" s="8" t="inlineStr">
        <is>
          <t>Expected annual released hours</t>
        </is>
      </c>
      <c r="F17" s="10">
        <f>'ROI Model'!D14</f>
        <v/>
      </c>
    </row>
    <row r="18">
      <c r="B18" s="8" t="inlineStr">
        <is>
          <t>Preliminary status</t>
        </is>
      </c>
      <c r="C18" s="9">
        <f>'ROI Model'!D40</f>
        <v/>
      </c>
      <c r="E18" s="8" t="inlineStr">
        <is>
          <t>Expected annual financial benefit</t>
        </is>
      </c>
      <c r="F18" s="11">
        <f>'ROI Model'!D25</f>
        <v/>
      </c>
    </row>
    <row r="19">
      <c r="B19" s="8" t="inlineStr">
        <is>
          <t>Weighted score / 100</t>
        </is>
      </c>
      <c r="C19" s="10">
        <f>'Controls &amp; Score'!E17</f>
        <v/>
      </c>
      <c r="E19" s="8" t="inlineStr">
        <is>
          <t>Expected Year-1 full cost</t>
        </is>
      </c>
      <c r="F19" s="11">
        <f>'ROI Model'!D29</f>
        <v/>
      </c>
    </row>
    <row r="20">
      <c r="B20" s="8" t="inlineStr">
        <is>
          <t>Hard-gate result</t>
        </is>
      </c>
      <c r="C20" s="9">
        <f>'Controls &amp; Score'!C32</f>
        <v/>
      </c>
      <c r="E20" s="8" t="inlineStr">
        <is>
          <t>Expected Year-1 ROI</t>
        </is>
      </c>
      <c r="F20" s="12">
        <f>'ROI Model'!D31</f>
        <v/>
      </c>
    </row>
    <row r="21">
      <c r="B21" s="8" t="inlineStr">
        <is>
          <t>Evidence completeness</t>
        </is>
      </c>
      <c r="C21" s="12">
        <f>'Controls &amp; Score'!E18</f>
        <v/>
      </c>
      <c r="E21" s="8" t="inlineStr">
        <is>
          <t>Expected payback (months)</t>
        </is>
      </c>
      <c r="F21" s="10">
        <f>'ROI Model'!D33</f>
        <v/>
      </c>
    </row>
    <row r="22"/>
    <row r="23"/>
    <row r="24" ht="22" customHeight="1">
      <c r="B24" s="4" t="inlineStr">
        <is>
          <t>MVP operating rules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/>
    <row r="26" ht="28" customHeight="1">
      <c r="B26" s="8" t="inlineStr">
        <is>
          <t>Screening, not promise</t>
        </is>
      </c>
      <c r="C26" s="13" t="inlineStr">
        <is>
          <t>The chatbot creates a bounded hypothesis and evidence plan; verified ROI follows a measured pilot.</t>
        </is>
      </c>
    </row>
    <row r="27" ht="28" customHeight="1">
      <c r="B27" s="8" t="inlineStr">
        <is>
          <t>Capacity is not cash</t>
        </is>
      </c>
      <c r="C27" s="13" t="inlineStr">
        <is>
          <t>Released time is reported separately unless an accountable owner confirms a measurable economic consequence.</t>
        </is>
      </c>
    </row>
    <row r="28" ht="28" customHeight="1">
      <c r="B28" s="8" t="inlineStr">
        <is>
          <t>Human accountability</t>
        </is>
      </c>
      <c r="C28" s="13" t="inlineStr">
        <is>
          <t>Named professionals approve client-facing or decision-influencing outputs.</t>
        </is>
      </c>
    </row>
    <row r="29" ht="28" customHeight="1">
      <c r="B29" s="8" t="inlineStr">
        <is>
          <t>Minimum data</t>
        </is>
      </c>
      <c r="C29" s="13" t="inlineStr">
        <is>
          <t>Ordinary chat collects categories and placeholders only; approved artifacts use a separate secure channel.</t>
        </is>
      </c>
    </row>
    <row r="30" ht="28" customHeight="1">
      <c r="B30" s="8" t="inlineStr">
        <is>
          <t>Hard gates override score</t>
        </is>
      </c>
      <c r="C30" s="13" t="inlineStr">
        <is>
          <t>Permission, data, verification, records and accountable-owner gates can block a high-scoring idea.</t>
        </is>
      </c>
    </row>
    <row r="31"/>
    <row r="32"/>
    <row r="33" ht="22" customHeight="1">
      <c r="B33" s="4" t="inlineStr">
        <is>
          <t>Recommended sequence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/>
    <row r="35">
      <c r="B35" s="14" t="inlineStr">
        <is>
          <t>1.</t>
        </is>
      </c>
      <c r="C35" s="7" t="inlineStr">
        <is>
          <t>Qualify one recurring deliverable from a recent case.</t>
        </is>
      </c>
    </row>
    <row r="36">
      <c r="B36" s="14" t="inlineStr">
        <is>
          <t>2.</t>
        </is>
      </c>
      <c r="C36" s="7" t="inlineStr">
        <is>
          <t>Measure volume, active time, review, rework, exceptions and evidence quality.</t>
        </is>
      </c>
    </row>
    <row r="37">
      <c r="B37" s="14" t="inlineStr">
        <is>
          <t>3.</t>
        </is>
      </c>
      <c r="C37" s="7" t="inlineStr">
        <is>
          <t>Gate the use against jurisdiction, data permissions, approval, records and prohibited actions.</t>
        </is>
      </c>
    </row>
    <row r="38">
      <c r="B38" s="14" t="inlineStr">
        <is>
          <t>4.</t>
        </is>
      </c>
      <c r="C38" s="7" t="inlineStr">
        <is>
          <t>Prototype bounded preparation with synthetic or redacted data.</t>
        </is>
      </c>
    </row>
    <row r="39">
      <c r="B39" s="14" t="inlineStr">
        <is>
          <t>5.</t>
        </is>
      </c>
      <c r="C39" s="7" t="inlineStr">
        <is>
          <t>Pilot with matched pre/post evidence for effort, quality, adoption, fallback and economics.</t>
        </is>
      </c>
    </row>
    <row r="40">
      <c r="B40" s="14" t="inlineStr">
        <is>
          <t>6.</t>
        </is>
      </c>
      <c r="C40" s="7" t="inlineStr">
        <is>
          <t>Deploy only after human approval of controls and value.</t>
        </is>
      </c>
    </row>
  </sheetData>
  <mergeCells count="23">
    <mergeCell ref="C8:F8"/>
    <mergeCell ref="C40:K40"/>
    <mergeCell ref="C7:F7"/>
    <mergeCell ref="B15:K15"/>
    <mergeCell ref="B24:K24"/>
    <mergeCell ref="B33:K33"/>
    <mergeCell ref="B5:K5"/>
    <mergeCell ref="C27:K27"/>
    <mergeCell ref="C36:K36"/>
    <mergeCell ref="C39:K39"/>
    <mergeCell ref="B3:K3"/>
    <mergeCell ref="C38:K38"/>
    <mergeCell ref="C37:K37"/>
    <mergeCell ref="C28:K28"/>
    <mergeCell ref="B2:K2"/>
    <mergeCell ref="C10:F10"/>
    <mergeCell ref="C30:K30"/>
    <mergeCell ref="C9:F9"/>
    <mergeCell ref="C12:F12"/>
    <mergeCell ref="C26:K26"/>
    <mergeCell ref="C11:F11"/>
    <mergeCell ref="C35:K35"/>
    <mergeCell ref="C29:K29"/>
  </mergeCells>
  <hyperlinks>
    <hyperlink ref="B7" location="'Chatbot Playbook'!B2"/>
    <hyperlink ref="B8" location="'Data Model'!B2"/>
    <hyperlink ref="B9" location="'Evidence Inputs'!B2"/>
    <hyperlink ref="B10" location="'ROI Model'!B2"/>
    <hyperlink ref="B11" location="'Controls &amp; Score'!B2"/>
    <hyperlink ref="B12" location="'Implementation Plan'!B2"/>
  </hyperlinks>
  <pageMargins left="0.75" right="0.75" top="1" bottom="1" header="0.5" footer="0.5"/>
  <headerFooter>
    <oddHeader/>
    <oddFooter>&amp;CGenerated 2026-09-22 | Preliminary screening tool — human review required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9" customWidth="1" min="3" max="3"/>
    <col width="17" customWidth="1" min="4" max="4"/>
    <col width="53" customWidth="1" min="5" max="5"/>
    <col width="24" customWidth="1" min="6" max="6"/>
    <col width="10" customWidth="1" min="7" max="7"/>
    <col width="23" customWidth="1" min="8" max="8"/>
    <col width="42" customWidth="1" min="9" max="9"/>
    <col width="25" customWidth="1" min="10" max="10"/>
  </cols>
  <sheetData>
    <row r="1"/>
    <row r="2" ht="30" customHeight="1">
      <c r="B2" s="1" t="inlineStr">
        <is>
          <t>Chatbot Interview Playbook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28" customHeight="1">
      <c r="B3" s="3" t="inlineStr">
        <is>
          <t>One atomic question per turn; one neutral probe per topic; unknown is valid; professional and commercial decisions escalate to humans.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/>
    <row r="5">
      <c r="B5" s="15" t="inlineStr">
        <is>
          <t>Route</t>
        </is>
      </c>
      <c r="C5" s="15" t="inlineStr">
        <is>
          <t>ID</t>
        </is>
      </c>
      <c r="D5" s="15" t="inlineStr">
        <is>
          <t>State</t>
        </is>
      </c>
      <c r="E5" s="15" t="inlineStr">
        <is>
          <t>Question / action</t>
        </is>
      </c>
      <c r="F5" s="15" t="inlineStr">
        <is>
          <t>Captured field</t>
        </is>
      </c>
      <c r="G5" s="15" t="inlineStr">
        <is>
          <t>Required</t>
        </is>
      </c>
      <c r="H5" s="15" t="inlineStr">
        <is>
          <t>Probe trigger</t>
        </is>
      </c>
      <c r="I5" s="15" t="inlineStr">
        <is>
          <t>Neutral probe / controls</t>
        </is>
      </c>
      <c r="J5" s="15" t="inlineStr">
        <is>
          <t>Escalate when</t>
        </is>
      </c>
    </row>
    <row r="6" ht="42" customHeight="1">
      <c r="B6" s="16" t="inlineStr">
        <is>
          <t>Universal</t>
        </is>
      </c>
      <c r="C6" s="16" t="inlineStr">
        <is>
          <t>U0</t>
        </is>
      </c>
      <c r="D6" s="16" t="inlineStr">
        <is>
          <t>Disclosure</t>
        </is>
      </c>
      <c r="E6" s="16" t="inlineStr">
        <is>
          <t>Disclose automation, transcript, purpose, access, retention, prohibited data, skip/stop rights, and preliminary status.</t>
        </is>
      </c>
      <c r="F6" s="16" t="inlineStr">
        <is>
          <t>notice_version</t>
        </is>
      </c>
      <c r="G6" s="16" t="inlineStr">
        <is>
          <t>Yes</t>
        </is>
      </c>
      <c r="H6" s="16" t="inlineStr"/>
      <c r="I6" s="16" t="inlineStr">
        <is>
          <t>Affirmative consent / decline</t>
        </is>
      </c>
      <c r="J6" s="16" t="inlineStr">
        <is>
          <t>Consent or retention disputed</t>
        </is>
      </c>
    </row>
    <row r="7" ht="42" customHeight="1">
      <c r="B7" s="16" t="inlineStr">
        <is>
          <t>Universal</t>
        </is>
      </c>
      <c r="C7" s="16" t="inlineStr">
        <is>
          <t>U1</t>
        </is>
      </c>
      <c r="D7" s="16" t="inlineStr">
        <is>
          <t>Consent</t>
        </is>
      </c>
      <c r="E7" s="16" t="inlineStr">
        <is>
          <t>Do you agree to continue under the notice?</t>
        </is>
      </c>
      <c r="F7" s="16" t="inlineStr">
        <is>
          <t>consent</t>
        </is>
      </c>
      <c r="G7" s="16" t="inlineStr">
        <is>
          <t>Yes</t>
        </is>
      </c>
      <c r="H7" s="16" t="inlineStr"/>
      <c r="I7" s="16" t="inlineStr">
        <is>
          <t>Yes / No</t>
        </is>
      </c>
      <c r="J7" s="16" t="inlineStr">
        <is>
          <t>No consent</t>
        </is>
      </c>
    </row>
    <row r="8" ht="42" customHeight="1">
      <c r="B8" s="16" t="inlineStr">
        <is>
          <t>Universal</t>
        </is>
      </c>
      <c r="C8" s="16" t="inlineStr">
        <is>
          <t>U2</t>
        </is>
      </c>
      <c r="D8" s="16" t="inlineStr">
        <is>
          <t>Role</t>
        </is>
      </c>
      <c r="E8" s="16" t="inlineStr">
        <is>
          <t>Which perspective best matches your role?</t>
        </is>
      </c>
      <c r="F8" s="16" t="inlineStr">
        <is>
          <t>respondent_role</t>
        </is>
      </c>
      <c r="G8" s="16" t="inlineStr">
        <is>
          <t>Yes</t>
        </is>
      </c>
      <c r="H8" s="16" t="inlineStr"/>
      <c r="I8" s="16" t="inlineStr">
        <is>
          <t>Adviser; Operations; Compliance; Finance; Multiple; Unsure</t>
        </is>
      </c>
      <c r="J8" s="16" t="inlineStr">
        <is>
          <t>Authority cannot be established</t>
        </is>
      </c>
    </row>
    <row r="9" ht="42" customHeight="1">
      <c r="B9" s="16" t="inlineStr">
        <is>
          <t>Universal</t>
        </is>
      </c>
      <c r="C9" s="16" t="inlineStr">
        <is>
          <t>U3</t>
        </is>
      </c>
      <c r="D9" s="16" t="inlineStr">
        <is>
          <t>Evidence</t>
        </is>
      </c>
      <c r="E9" s="16" t="inlineStr">
        <is>
          <t>Are you answering from direct experience, oversight, or both?</t>
        </is>
      </c>
      <c r="F9" s="16" t="inlineStr">
        <is>
          <t>authority_level</t>
        </is>
      </c>
      <c r="G9" s="16" t="inlineStr">
        <is>
          <t>Yes</t>
        </is>
      </c>
      <c r="H9" s="16" t="inlineStr"/>
      <c r="I9" s="16" t="inlineStr">
        <is>
          <t>Direct; Oversight; Both</t>
        </is>
      </c>
      <c r="J9" s="16" t="inlineStr"/>
    </row>
    <row r="10" ht="42" customHeight="1">
      <c r="B10" s="16" t="inlineStr">
        <is>
          <t>Adviser</t>
        </is>
      </c>
      <c r="C10" s="16" t="inlineStr">
        <is>
          <t>A1</t>
        </is>
      </c>
      <c r="D10" s="16" t="inlineStr">
        <is>
          <t>Candidate</t>
        </is>
      </c>
      <c r="E10" s="16" t="inlineStr">
        <is>
          <t>Think of the most recent normal recurring work you would like made easier. What final item did you deliver?</t>
        </is>
      </c>
      <c r="F10" s="16" t="inlineStr">
        <is>
          <t>deliverable</t>
        </is>
      </c>
      <c r="G10" s="16" t="inlineStr">
        <is>
          <t>Yes</t>
        </is>
      </c>
      <c r="H10" s="16" t="inlineStr">
        <is>
          <t>Broad or several candidates</t>
        </is>
      </c>
      <c r="I10" s="16" t="inlineStr">
        <is>
          <t>What specific item was complete at the end?</t>
        </is>
      </c>
      <c r="J10" s="16" t="inlineStr">
        <is>
          <t>No bounded output</t>
        </is>
      </c>
    </row>
    <row r="11" ht="42" customHeight="1">
      <c r="B11" s="16" t="inlineStr">
        <is>
          <t>Adviser</t>
        </is>
      </c>
      <c r="C11" s="16" t="inlineStr">
        <is>
          <t>A2</t>
        </is>
      </c>
      <c r="D11" s="16" t="inlineStr">
        <is>
          <t>Outcome</t>
        </is>
      </c>
      <c r="E11" s="16" t="inlineStr">
        <is>
          <t>Who used that item?</t>
        </is>
      </c>
      <c r="F11" s="16" t="inlineStr">
        <is>
          <t>recipient</t>
        </is>
      </c>
      <c r="G11" s="16" t="inlineStr">
        <is>
          <t>Yes</t>
        </is>
      </c>
      <c r="H11" s="16" t="inlineStr">
        <is>
          <t>Recipient unclear</t>
        </is>
      </c>
      <c r="I11" s="16" t="inlineStr">
        <is>
          <t>Which role or client type received it?</t>
        </is>
      </c>
      <c r="J11" s="16" t="inlineStr">
        <is>
          <t>No user</t>
        </is>
      </c>
    </row>
    <row r="12" ht="42" customHeight="1">
      <c r="B12" s="16" t="inlineStr">
        <is>
          <t>Adviser</t>
        </is>
      </c>
      <c r="C12" s="16" t="inlineStr">
        <is>
          <t>A3</t>
        </is>
      </c>
      <c r="D12" s="16" t="inlineStr">
        <is>
          <t>Outcome</t>
        </is>
      </c>
      <c r="E12" s="16" t="inlineStr">
        <is>
          <t>What did it allow that person to decide or do?</t>
        </is>
      </c>
      <c r="F12" s="16" t="inlineStr">
        <is>
          <t>outcome</t>
        </is>
      </c>
      <c r="G12" s="16" t="inlineStr">
        <is>
          <t>Yes</t>
        </is>
      </c>
      <c r="H12" s="16" t="inlineStr">
        <is>
          <t>Outcome vague</t>
        </is>
      </c>
      <c r="I12" s="16" t="inlineStr">
        <is>
          <t>What changed after acceptance?</t>
        </is>
      </c>
      <c r="J12" s="16" t="inlineStr">
        <is>
          <t>No outcome</t>
        </is>
      </c>
    </row>
    <row r="13" ht="42" customHeight="1">
      <c r="B13" s="16" t="inlineStr">
        <is>
          <t>Adviser</t>
        </is>
      </c>
      <c r="C13" s="16" t="inlineStr">
        <is>
          <t>A4</t>
        </is>
      </c>
      <c r="D13" s="16" t="inlineStr">
        <is>
          <t>Volume</t>
        </is>
      </c>
      <c r="E13" s="16" t="inlineStr">
        <is>
          <t>In the last full normal month, approximately how many similar items were completed?</t>
        </is>
      </c>
      <c r="F13" s="16" t="inlineStr">
        <is>
          <t>monthly_volume</t>
        </is>
      </c>
      <c r="G13" s="16" t="inlineStr">
        <is>
          <t>Yes</t>
        </is>
      </c>
      <c r="H13" s="16" t="inlineStr">
        <is>
          <t>No unit/source</t>
        </is>
      </c>
      <c r="I13" s="16" t="inlineStr">
        <is>
          <t>Provide a value or range and the source.</t>
        </is>
      </c>
      <c r="J13" s="16" t="inlineStr"/>
    </row>
    <row r="14" ht="42" customHeight="1">
      <c r="B14" s="16" t="inlineStr">
        <is>
          <t>Adviser</t>
        </is>
      </c>
      <c r="C14" s="16" t="inlineStr">
        <is>
          <t>A5</t>
        </is>
      </c>
      <c r="D14" s="16" t="inlineStr">
        <is>
          <t>Economics</t>
        </is>
      </c>
      <c r="E14" s="16" t="inlineStr">
        <is>
          <t>How does this work affect the business financially?</t>
        </is>
      </c>
      <c r="F14" s="16" t="inlineStr">
        <is>
          <t>value_mechanism</t>
        </is>
      </c>
      <c r="G14" s="16" t="inlineStr">
        <is>
          <t>Yes</t>
        </is>
      </c>
      <c r="H14" s="16" t="inlineStr">
        <is>
          <t>Generic productivity</t>
        </is>
      </c>
      <c r="I14" s="16" t="inlineStr">
        <is>
          <t>What spend, margin, obligation or capacity consequence changes?</t>
        </is>
      </c>
      <c r="J14" s="16" t="inlineStr">
        <is>
          <t>Only unspecified time saved</t>
        </is>
      </c>
    </row>
    <row r="15" ht="42" customHeight="1">
      <c r="B15" s="16" t="inlineStr">
        <is>
          <t>Adviser</t>
        </is>
      </c>
      <c r="C15" s="16" t="inlineStr">
        <is>
          <t>A6</t>
        </is>
      </c>
      <c r="D15" s="16" t="inlineStr">
        <is>
          <t>Capacity</t>
        </is>
      </c>
      <c r="E15" s="16" t="inlineStr">
        <is>
          <t>If preparation used less staff time, what would actually change within 12 months?</t>
        </is>
      </c>
      <c r="F15" s="16" t="inlineStr">
        <is>
          <t>capacity_use</t>
        </is>
      </c>
      <c r="G15" s="16" t="inlineStr">
        <is>
          <t>Yes</t>
        </is>
      </c>
      <c r="H15" s="16" t="inlineStr">
        <is>
          <t>No realization path</t>
        </is>
      </c>
      <c r="I15" s="16" t="inlineStr">
        <is>
          <t>Spend stops; hiring avoided; demand served; backlog cleared; capacity only?</t>
        </is>
      </c>
      <c r="J15" s="16" t="inlineStr">
        <is>
          <t>No value path</t>
        </is>
      </c>
    </row>
    <row r="16" ht="42" customHeight="1">
      <c r="B16" s="16" t="inlineStr">
        <is>
          <t>Adviser</t>
        </is>
      </c>
      <c r="C16" s="16" t="inlineStr">
        <is>
          <t>A7</t>
        </is>
      </c>
      <c r="D16" s="16" t="inlineStr">
        <is>
          <t>Owner</t>
        </is>
      </c>
      <c r="E16" s="16" t="inlineStr">
        <is>
          <t>Who can verify volume, economics and the intended use of capacity?</t>
        </is>
      </c>
      <c r="F16" s="16" t="inlineStr">
        <is>
          <t>evidence_owner</t>
        </is>
      </c>
      <c r="G16" s="16" t="inlineStr">
        <is>
          <t>Yes</t>
        </is>
      </c>
      <c r="H16" s="16" t="inlineStr">
        <is>
          <t>Owner unknown</t>
        </is>
      </c>
      <c r="I16" s="16" t="inlineStr">
        <is>
          <t>Which role controls the record or budget?</t>
        </is>
      </c>
      <c r="J16" s="16" t="inlineStr">
        <is>
          <t>No owner</t>
        </is>
      </c>
    </row>
    <row r="17" ht="42" customHeight="1">
      <c r="B17" s="16" t="inlineStr">
        <is>
          <t>Adviser</t>
        </is>
      </c>
      <c r="C17" s="16" t="inlineStr">
        <is>
          <t>A8</t>
        </is>
      </c>
      <c r="D17" s="16" t="inlineStr">
        <is>
          <t>Trust</t>
        </is>
      </c>
      <c r="E17" s="16" t="inlineStr">
        <is>
          <t>What is the highest assistance level you would consider?</t>
        </is>
      </c>
      <c r="F17" s="16" t="inlineStr">
        <is>
          <t>trust_boundary</t>
        </is>
      </c>
      <c r="G17" s="16" t="inlineStr">
        <is>
          <t>Yes</t>
        </is>
      </c>
      <c r="H17" s="16" t="inlineStr"/>
      <c r="I17" s="16" t="inlineStr">
        <is>
          <t>Organize; Draft; Recommend for approval; Reversible internal action; External action; Unsure</t>
        </is>
      </c>
      <c r="J17" s="16" t="inlineStr">
        <is>
          <t>External advice/action without approval</t>
        </is>
      </c>
    </row>
    <row r="18" ht="42" customHeight="1">
      <c r="B18" s="16" t="inlineStr">
        <is>
          <t>Operations</t>
        </is>
      </c>
      <c r="C18" s="16" t="inlineStr">
        <is>
          <t>O1</t>
        </is>
      </c>
      <c r="D18" s="16" t="inlineStr">
        <is>
          <t>Case</t>
        </is>
      </c>
      <c r="E18" s="16" t="inlineStr">
        <is>
          <t>Was the most recent example normal, unusually easy, or difficult?</t>
        </is>
      </c>
      <c r="F18" s="16" t="inlineStr">
        <is>
          <t>case_typicality</t>
        </is>
      </c>
      <c r="G18" s="16" t="inlineStr">
        <is>
          <t>Yes</t>
        </is>
      </c>
      <c r="H18" s="16" t="inlineStr"/>
      <c r="I18" s="16" t="inlineStr">
        <is>
          <t>Normal; Easy; Difficult</t>
        </is>
      </c>
      <c r="J18" s="16" t="inlineStr"/>
    </row>
    <row r="19" ht="42" customHeight="1">
      <c r="B19" s="16" t="inlineStr">
        <is>
          <t>Operations</t>
        </is>
      </c>
      <c r="C19" s="16" t="inlineStr">
        <is>
          <t>O2</t>
        </is>
      </c>
      <c r="D19" s="16" t="inlineStr">
        <is>
          <t>Boundary</t>
        </is>
      </c>
      <c r="E19" s="16" t="inlineStr">
        <is>
          <t>What event started the work?</t>
        </is>
      </c>
      <c r="F19" s="16" t="inlineStr">
        <is>
          <t>start_event</t>
        </is>
      </c>
      <c r="G19" s="16" t="inlineStr">
        <is>
          <t>Yes</t>
        </is>
      </c>
      <c r="H19" s="16" t="inlineStr">
        <is>
          <t>Unclear boundary</t>
        </is>
      </c>
      <c r="I19" s="16" t="inlineStr">
        <is>
          <t>What first event triggered active work?</t>
        </is>
      </c>
      <c r="J19" s="16" t="inlineStr"/>
    </row>
    <row r="20" ht="42" customHeight="1">
      <c r="B20" s="16" t="inlineStr">
        <is>
          <t>Operations</t>
        </is>
      </c>
      <c r="C20" s="16" t="inlineStr">
        <is>
          <t>O3</t>
        </is>
      </c>
      <c r="D20" s="16" t="inlineStr">
        <is>
          <t>Boundary</t>
        </is>
      </c>
      <c r="E20" s="16" t="inlineStr">
        <is>
          <t>What event meant the item was accepted as complete?</t>
        </is>
      </c>
      <c r="F20" s="16" t="inlineStr">
        <is>
          <t>finish_event</t>
        </is>
      </c>
      <c r="G20" s="16" t="inlineStr">
        <is>
          <t>Yes</t>
        </is>
      </c>
      <c r="H20" s="16" t="inlineStr">
        <is>
          <t>Acceptance unclear</t>
        </is>
      </c>
      <c r="I20" s="16" t="inlineStr">
        <is>
          <t>Who accepted it or what status marked completion?</t>
        </is>
      </c>
      <c r="J20" s="16" t="inlineStr">
        <is>
          <t>No acceptance standard</t>
        </is>
      </c>
    </row>
    <row r="21" ht="42" customHeight="1">
      <c r="B21" s="16" t="inlineStr">
        <is>
          <t>Operations</t>
        </is>
      </c>
      <c r="C21" s="16" t="inlineStr">
        <is>
          <t>O4</t>
        </is>
      </c>
      <c r="D21" s="16" t="inlineStr">
        <is>
          <t>Roles</t>
        </is>
      </c>
      <c r="E21" s="16" t="inlineStr">
        <is>
          <t>Which roles spent active time on the example?</t>
        </is>
      </c>
      <c r="F21" s="16" t="inlineStr">
        <is>
          <t>roles</t>
        </is>
      </c>
      <c r="G21" s="16" t="inlineStr">
        <is>
          <t>Yes</t>
        </is>
      </c>
      <c r="H21" s="16" t="inlineStr"/>
      <c r="I21" s="16" t="inlineStr">
        <is>
          <t>Roles only; no employee names.</t>
        </is>
      </c>
      <c r="J21" s="16" t="inlineStr"/>
    </row>
    <row r="22" ht="42" customHeight="1">
      <c r="B22" s="16" t="inlineStr">
        <is>
          <t>Operations</t>
        </is>
      </c>
      <c r="C22" s="16" t="inlineStr">
        <is>
          <t>O5</t>
        </is>
      </c>
      <c r="D22" s="16" t="inlineStr">
        <is>
          <t>Time</t>
        </is>
      </c>
      <c r="E22" s="16" t="inlineStr">
        <is>
          <t>How much active time did each role spend, excluding waiting?</t>
        </is>
      </c>
      <c r="F22" s="16" t="inlineStr">
        <is>
          <t>baseline_time</t>
        </is>
      </c>
      <c r="G22" s="16" t="inlineStr">
        <is>
          <t>Yes</t>
        </is>
      </c>
      <c r="H22" s="16" t="inlineStr">
        <is>
          <t>No unit/source</t>
        </is>
      </c>
      <c r="I22" s="16" t="inlineStr">
        <is>
          <t>Give a value/range and source: record, timestamp, diary, file history or memory.</t>
        </is>
      </c>
      <c r="J22" s="16" t="inlineStr">
        <is>
          <t>Baseline unmeasurable</t>
        </is>
      </c>
    </row>
    <row r="23" ht="42" customHeight="1">
      <c r="B23" s="16" t="inlineStr">
        <is>
          <t>Operations</t>
        </is>
      </c>
      <c r="C23" s="16" t="inlineStr">
        <is>
          <t>O6</t>
        </is>
      </c>
      <c r="D23" s="16" t="inlineStr">
        <is>
          <t>Review</t>
        </is>
      </c>
      <c r="E23" s="16" t="inlineStr">
        <is>
          <t>How much extra active time followed for review or correction?</t>
        </is>
      </c>
      <c r="F23" s="16" t="inlineStr">
        <is>
          <t>review_time</t>
        </is>
      </c>
      <c r="G23" s="16" t="inlineStr">
        <is>
          <t>Yes</t>
        </is>
      </c>
      <c r="H23" s="16" t="inlineStr">
        <is>
          <t>Combined with creation</t>
        </is>
      </c>
      <c r="I23" s="16" t="inlineStr">
        <is>
          <t>Separate verification and correction if possible.</t>
        </is>
      </c>
      <c r="J23" s="16" t="inlineStr"/>
    </row>
    <row r="24" ht="42" customHeight="1">
      <c r="B24" s="16" t="inlineStr">
        <is>
          <t>Operations</t>
        </is>
      </c>
      <c r="C24" s="16" t="inlineStr">
        <is>
          <t>O7</t>
        </is>
      </c>
      <c r="D24" s="16" t="inlineStr">
        <is>
          <t>Exceptions</t>
        </is>
      </c>
      <c r="E24" s="16" t="inlineStr">
        <is>
          <t>Out of ten similar items, how many needed materially different handling?</t>
        </is>
      </c>
      <c r="F24" s="16" t="inlineStr">
        <is>
          <t>exception_rate</t>
        </is>
      </c>
      <c r="G24" s="16" t="inlineStr">
        <is>
          <t>No</t>
        </is>
      </c>
      <c r="H24" s="16" t="inlineStr">
        <is>
          <t>Material unclear</t>
        </is>
      </c>
      <c r="I24" s="16" t="inlineStr">
        <is>
          <t>Material means meaningful extra work or changed client conclusion.</t>
        </is>
      </c>
      <c r="J24" s="16" t="inlineStr"/>
    </row>
    <row r="25" ht="42" customHeight="1">
      <c r="B25" s="16" t="inlineStr">
        <is>
          <t>Operations</t>
        </is>
      </c>
      <c r="C25" s="16" t="inlineStr">
        <is>
          <t>O8</t>
        </is>
      </c>
      <c r="D25" s="16" t="inlineStr">
        <is>
          <t>Quality</t>
        </is>
      </c>
      <c r="E25" s="16" t="inlineStr">
        <is>
          <t>What must not become worse?</t>
        </is>
      </c>
      <c r="F25" s="16" t="inlineStr">
        <is>
          <t>quality_guardrail</t>
        </is>
      </c>
      <c r="G25" s="16" t="inlineStr">
        <is>
          <t>Yes</t>
        </is>
      </c>
      <c r="H25" s="16" t="inlineStr">
        <is>
          <t>Not measurable</t>
        </is>
      </c>
      <c r="I25" s="16" t="inlineStr">
        <is>
          <t>How is it checked today?</t>
        </is>
      </c>
      <c r="J25" s="16" t="inlineStr">
        <is>
          <t>No verification method</t>
        </is>
      </c>
    </row>
    <row r="26" ht="42" customHeight="1">
      <c r="B26" s="16" t="inlineStr">
        <is>
          <t>Operations</t>
        </is>
      </c>
      <c r="C26" s="16" t="inlineStr">
        <is>
          <t>O9</t>
        </is>
      </c>
      <c r="D26" s="16" t="inlineStr">
        <is>
          <t>Evidence</t>
        </is>
      </c>
      <c r="E26" s="16" t="inlineStr">
        <is>
          <t>Which record could verify volume, effort or rework with least effort?</t>
        </is>
      </c>
      <c r="F26" s="16" t="inlineStr">
        <is>
          <t>baseline_evidence</t>
        </is>
      </c>
      <c r="G26" s="16" t="inlineStr">
        <is>
          <t>Yes</t>
        </is>
      </c>
      <c r="H26" s="16" t="inlineStr">
        <is>
          <t>No record</t>
        </is>
      </c>
      <c r="I26" s="16" t="inlineStr">
        <is>
          <t>Could a diary of 5–10 normal cases work?</t>
        </is>
      </c>
      <c r="J26" s="16" t="inlineStr">
        <is>
          <t>No evidence path</t>
        </is>
      </c>
    </row>
    <row r="27" ht="42" customHeight="1">
      <c r="B27" s="16" t="inlineStr">
        <is>
          <t>Compliance</t>
        </is>
      </c>
      <c r="C27" s="16" t="inlineStr">
        <is>
          <t>C1</t>
        </is>
      </c>
      <c r="D27" s="16" t="inlineStr">
        <is>
          <t>Perimeter</t>
        </is>
      </c>
      <c r="E27" s="16" t="inlineStr">
        <is>
          <t>Which country, entity and regulated activity would this use touch?</t>
        </is>
      </c>
      <c r="F27" s="16" t="inlineStr">
        <is>
          <t>perimeter</t>
        </is>
      </c>
      <c r="G27" s="16" t="inlineStr">
        <is>
          <t>Yes</t>
        </is>
      </c>
      <c r="H27" s="16" t="inlineStr">
        <is>
          <t>Incomplete</t>
        </is>
      </c>
      <c r="I27" s="16" t="inlineStr">
        <is>
          <t>Name the responsible firm role.</t>
        </is>
      </c>
      <c r="J27" s="16" t="inlineStr">
        <is>
          <t>Legal interpretation requested</t>
        </is>
      </c>
    </row>
    <row r="28" ht="42" customHeight="1">
      <c r="B28" s="16" t="inlineStr">
        <is>
          <t>Compliance</t>
        </is>
      </c>
      <c r="C28" s="16" t="inlineStr">
        <is>
          <t>C2</t>
        </is>
      </c>
      <c r="D28" s="16" t="inlineStr">
        <is>
          <t>Class</t>
        </is>
      </c>
      <c r="E28" s="16" t="inlineStr">
        <is>
          <t>How does the firm classify the output?</t>
        </is>
      </c>
      <c r="F28" s="16" t="inlineStr">
        <is>
          <t>output_class</t>
        </is>
      </c>
      <c r="G28" s="16" t="inlineStr">
        <is>
          <t>Yes</t>
        </is>
      </c>
      <c r="H28" s="16" t="inlineStr"/>
      <c r="I28" s="16" t="inlineStr">
        <is>
          <t>Preparation; Communication; Advice; Record; Supervision; Other</t>
        </is>
      </c>
      <c r="J28" s="16" t="inlineStr">
        <is>
          <t>Advice without professional approval</t>
        </is>
      </c>
    </row>
    <row r="29" ht="42" customHeight="1">
      <c r="B29" s="16" t="inlineStr">
        <is>
          <t>Compliance</t>
        </is>
      </c>
      <c r="C29" s="16" t="inlineStr">
        <is>
          <t>C3</t>
        </is>
      </c>
      <c r="D29" s="16" t="inlineStr">
        <is>
          <t>Data</t>
        </is>
      </c>
      <c r="E29" s="16" t="inlineStr">
        <is>
          <t>Which data categories are minimally required?</t>
        </is>
      </c>
      <c r="F29" s="16" t="inlineStr">
        <is>
          <t>data_categories</t>
        </is>
      </c>
      <c r="G29" s="16" t="inlineStr">
        <is>
          <t>Yes</t>
        </is>
      </c>
      <c r="H29" s="16" t="inlineStr">
        <is>
          <t>Sensitive content entered</t>
        </is>
      </c>
      <c r="I29" s="16" t="inlineStr">
        <is>
          <t>Restate with categories/placeholders.</t>
        </is>
      </c>
      <c r="J29" s="16" t="inlineStr">
        <is>
          <t>Credentials or identifiable records</t>
        </is>
      </c>
    </row>
    <row r="30" ht="42" customHeight="1">
      <c r="B30" s="16" t="inlineStr">
        <is>
          <t>Compliance</t>
        </is>
      </c>
      <c r="C30" s="16" t="inlineStr">
        <is>
          <t>C4</t>
        </is>
      </c>
      <c r="D30" s="16" t="inlineStr">
        <is>
          <t>Pilot data</t>
        </is>
      </c>
      <c r="E30" s="16" t="inlineStr">
        <is>
          <t>What is the least sensitive permitted pilot data?</t>
        </is>
      </c>
      <c r="F30" s="16" t="inlineStr">
        <is>
          <t>pilot_data</t>
        </is>
      </c>
      <c r="G30" s="16" t="inlineStr">
        <is>
          <t>Yes</t>
        </is>
      </c>
      <c r="H30" s="16" t="inlineStr"/>
      <c r="I30" s="16" t="inlineStr">
        <is>
          <t>Synthetic; Redacted; Anonymized; Historical; Controlled live; None</t>
        </is>
      </c>
      <c r="J30" s="16" t="inlineStr">
        <is>
          <t>No permissible path</t>
        </is>
      </c>
    </row>
    <row r="31" ht="42" customHeight="1">
      <c r="B31" s="16" t="inlineStr">
        <is>
          <t>Compliance</t>
        </is>
      </c>
      <c r="C31" s="16" t="inlineStr">
        <is>
          <t>C5</t>
        </is>
      </c>
      <c r="D31" s="16" t="inlineStr">
        <is>
          <t>Prohibition</t>
        </is>
      </c>
      <c r="E31" s="16" t="inlineStr">
        <is>
          <t>What must the automation never access, generate, decide or send?</t>
        </is>
      </c>
      <c r="F31" s="16" t="inlineStr">
        <is>
          <t>prohibited_actions</t>
        </is>
      </c>
      <c r="G31" s="16" t="inlineStr">
        <is>
          <t>Yes</t>
        </is>
      </c>
      <c r="H31" s="16" t="inlineStr">
        <is>
          <t>Unclear</t>
        </is>
      </c>
      <c r="I31" s="16" t="inlineStr"/>
      <c r="J31" s="16" t="inlineStr">
        <is>
          <t>Possible breach/control failure</t>
        </is>
      </c>
    </row>
    <row r="32" ht="42" customHeight="1">
      <c r="B32" s="16" t="inlineStr">
        <is>
          <t>Compliance</t>
        </is>
      </c>
      <c r="C32" s="16" t="inlineStr">
        <is>
          <t>C6</t>
        </is>
      </c>
      <c r="D32" s="16" t="inlineStr">
        <is>
          <t>Approval</t>
        </is>
      </c>
      <c r="E32" s="16" t="inlineStr">
        <is>
          <t>Which qualified role approves output before use or sending?</t>
        </is>
      </c>
      <c r="F32" s="16" t="inlineStr">
        <is>
          <t>human_approver</t>
        </is>
      </c>
      <c r="G32" s="16" t="inlineStr">
        <is>
          <t>Yes</t>
        </is>
      </c>
      <c r="H32" s="16" t="inlineStr">
        <is>
          <t>No reviewer</t>
        </is>
      </c>
      <c r="I32" s="16" t="inlineStr">
        <is>
          <t>What qualification is required?</t>
        </is>
      </c>
      <c r="J32" s="16" t="inlineStr">
        <is>
          <t>No competent reviewer</t>
        </is>
      </c>
    </row>
    <row r="33" ht="42" customHeight="1">
      <c r="B33" s="16" t="inlineStr">
        <is>
          <t>Compliance</t>
        </is>
      </c>
      <c r="C33" s="16" t="inlineStr">
        <is>
          <t>C7</t>
        </is>
      </c>
      <c r="D33" s="16" t="inlineStr">
        <is>
          <t>Records</t>
        </is>
      </c>
      <c r="E33" s="16" t="inlineStr">
        <is>
          <t>Which prompts, inputs, outputs, approvals, versions and actions must be retained?</t>
        </is>
      </c>
      <c r="F33" s="16" t="inlineStr">
        <is>
          <t>record_requirements</t>
        </is>
      </c>
      <c r="G33" s="16" t="inlineStr">
        <is>
          <t>Yes</t>
        </is>
      </c>
      <c r="H33" s="16" t="inlineStr">
        <is>
          <t>Unknown</t>
        </is>
      </c>
      <c r="I33" s="16" t="inlineStr">
        <is>
          <t>Who defines retention/deletion?</t>
        </is>
      </c>
      <c r="J33" s="16" t="inlineStr">
        <is>
          <t>Recordkeeping unmet</t>
        </is>
      </c>
    </row>
    <row r="34" ht="42" customHeight="1">
      <c r="B34" s="16" t="inlineStr">
        <is>
          <t>Compliance</t>
        </is>
      </c>
      <c r="C34" s="16" t="inlineStr">
        <is>
          <t>C8</t>
        </is>
      </c>
      <c r="D34" s="16" t="inlineStr">
        <is>
          <t>Authority</t>
        </is>
      </c>
      <c r="E34" s="16" t="inlineStr">
        <is>
          <t>Who authorizes a limited pilot, and what evidence is required?</t>
        </is>
      </c>
      <c r="F34" s="16" t="inlineStr">
        <is>
          <t>pilot_authority</t>
        </is>
      </c>
      <c r="G34" s="16" t="inlineStr">
        <is>
          <t>Yes</t>
        </is>
      </c>
      <c r="H34" s="16" t="inlineStr">
        <is>
          <t>Unknown</t>
        </is>
      </c>
      <c r="I34" s="16" t="inlineStr"/>
      <c r="J34" s="16" t="inlineStr">
        <is>
          <t>Permission claims conflict</t>
        </is>
      </c>
    </row>
    <row r="35" ht="42" customHeight="1">
      <c r="B35" s="16" t="inlineStr">
        <is>
          <t>Finance</t>
        </is>
      </c>
      <c r="C35" s="16" t="inlineStr">
        <is>
          <t>F1</t>
        </is>
      </c>
      <c r="D35" s="16" t="inlineStr">
        <is>
          <t>Cost</t>
        </is>
      </c>
      <c r="E35" s="16" t="inlineStr">
        <is>
          <t>Which approved loaded cost basis applies to each role?</t>
        </is>
      </c>
      <c r="F35" s="16" t="inlineStr">
        <is>
          <t>loaded_cost</t>
        </is>
      </c>
      <c r="G35" s="16" t="inlineStr">
        <is>
          <t>Yes</t>
        </is>
      </c>
      <c r="H35" s="16" t="inlineStr">
        <is>
          <t>Unavailable</t>
        </is>
      </c>
      <c r="I35" s="16" t="inlineStr">
        <is>
          <t>Finance-approved hourly or standard basis.</t>
        </is>
      </c>
      <c r="J35" s="16" t="inlineStr"/>
    </row>
    <row r="36" ht="42" customHeight="1">
      <c r="B36" s="16" t="inlineStr">
        <is>
          <t>Finance</t>
        </is>
      </c>
      <c r="C36" s="16" t="inlineStr">
        <is>
          <t>F2</t>
        </is>
      </c>
      <c r="D36" s="16" t="inlineStr">
        <is>
          <t>Spend</t>
        </is>
      </c>
      <c r="E36" s="16" t="inlineStr">
        <is>
          <t>Which current or planned expenditure would change?</t>
        </is>
      </c>
      <c r="F36" s="16" t="inlineStr">
        <is>
          <t>spend_change</t>
        </is>
      </c>
      <c r="G36" s="16" t="inlineStr">
        <is>
          <t>No</t>
        </is>
      </c>
      <c r="H36" s="16" t="inlineStr">
        <is>
          <t>Uncommitted</t>
        </is>
      </c>
      <c r="I36" s="16" t="inlineStr">
        <is>
          <t>Name budget line, owner, amount and timing.</t>
        </is>
      </c>
      <c r="J36" s="16" t="inlineStr"/>
    </row>
    <row r="37" ht="42" customHeight="1">
      <c r="B37" s="16" t="inlineStr">
        <is>
          <t>Finance</t>
        </is>
      </c>
      <c r="C37" s="16" t="inlineStr">
        <is>
          <t>F3</t>
        </is>
      </c>
      <c r="D37" s="16" t="inlineStr">
        <is>
          <t>Growth</t>
        </is>
      </c>
      <c r="E37" s="16" t="inlineStr">
        <is>
          <t>Is there evidenced demand, and what contribution margin applies?</t>
        </is>
      </c>
      <c r="F37" s="16" t="inlineStr">
        <is>
          <t>growth_economics</t>
        </is>
      </c>
      <c r="G37" s="16" t="inlineStr">
        <is>
          <t>No</t>
        </is>
      </c>
      <c r="H37" s="16" t="inlineStr">
        <is>
          <t>Uses revenue</t>
        </is>
      </c>
      <c r="I37" s="16" t="inlineStr">
        <is>
          <t>Use attributable contribution margin, not revenue.</t>
        </is>
      </c>
      <c r="J37" s="16" t="inlineStr"/>
    </row>
    <row r="38" ht="42" customHeight="1">
      <c r="B38" s="16" t="inlineStr">
        <is>
          <t>Finance</t>
        </is>
      </c>
      <c r="C38" s="16" t="inlineStr">
        <is>
          <t>F4</t>
        </is>
      </c>
      <c r="D38" s="16" t="inlineStr">
        <is>
          <t>Appraisal</t>
        </is>
      </c>
      <c r="E38" s="16" t="inlineStr">
        <is>
          <t>What horizon and payback rule should apply?</t>
        </is>
      </c>
      <c r="F38" s="16" t="inlineStr">
        <is>
          <t>appraisal_rule</t>
        </is>
      </c>
      <c r="G38" s="16" t="inlineStr">
        <is>
          <t>Yes</t>
        </is>
      </c>
      <c r="H38" s="16" t="inlineStr"/>
      <c r="I38" s="16" t="inlineStr"/>
      <c r="J38" s="16" t="inlineStr">
        <is>
          <t>Binding commitment requested</t>
        </is>
      </c>
    </row>
    <row r="39" ht="42" customHeight="1">
      <c r="B39" s="16" t="inlineStr">
        <is>
          <t>Universal</t>
        </is>
      </c>
      <c r="C39" s="16" t="inlineStr">
        <is>
          <t>U4</t>
        </is>
      </c>
      <c r="D39" s="16" t="inlineStr">
        <is>
          <t>Correction</t>
        </is>
      </c>
      <c r="E39" s="16" t="inlineStr">
        <is>
          <t>Review facts, estimates, interpretations and unknowns. What should be corrected or qualified?</t>
        </is>
      </c>
      <c r="F39" s="16" t="inlineStr">
        <is>
          <t>corrections</t>
        </is>
      </c>
      <c r="G39" s="16" t="inlineStr">
        <is>
          <t>Yes</t>
        </is>
      </c>
      <c r="H39" s="16" t="inlineStr"/>
      <c r="I39" s="16" t="inlineStr">
        <is>
          <t>Free text or No corrections.</t>
        </is>
      </c>
      <c r="J39" s="16" t="inlineStr"/>
    </row>
    <row r="40" ht="42" customHeight="1">
      <c r="B40" s="16" t="inlineStr">
        <is>
          <t>Universal</t>
        </is>
      </c>
      <c r="C40" s="16" t="inlineStr">
        <is>
          <t>U5</t>
        </is>
      </c>
      <c r="D40" s="16" t="inlineStr">
        <is>
          <t>Validation</t>
        </is>
      </c>
      <c r="E40" s="16" t="inlineStr">
        <is>
          <t>Which single assumption should be validated first?</t>
        </is>
      </c>
      <c r="F40" s="16" t="inlineStr">
        <is>
          <t>priority_assumption</t>
        </is>
      </c>
      <c r="G40" s="16" t="inlineStr">
        <is>
          <t>Yes</t>
        </is>
      </c>
      <c r="H40" s="16" t="inlineStr"/>
      <c r="I40" s="16" t="inlineStr">
        <is>
          <t>Largest value or safety uncertainty.</t>
        </is>
      </c>
      <c r="J40" s="16" t="inlineStr"/>
    </row>
    <row r="41" ht="42" customHeight="1">
      <c r="B41" s="16" t="inlineStr">
        <is>
          <t>Universal</t>
        </is>
      </c>
      <c r="C41" s="16" t="inlineStr">
        <is>
          <t>U6</t>
        </is>
      </c>
      <c r="D41" s="16" t="inlineStr">
        <is>
          <t>Handoff</t>
        </is>
      </c>
      <c r="E41" s="16" t="inlineStr">
        <is>
          <t>Classify Stop, Measure, Prototype or Pilot and create a human-review brief.</t>
        </is>
      </c>
      <c r="F41" s="16" t="inlineStr">
        <is>
          <t>next_step</t>
        </is>
      </c>
      <c r="G41" s="16" t="inlineStr">
        <is>
          <t>Yes</t>
        </is>
      </c>
      <c r="H41" s="16" t="inlineStr"/>
      <c r="I41" s="16" t="inlineStr">
        <is>
          <t>Human review required = true</t>
        </is>
      </c>
      <c r="J41" s="16" t="inlineStr">
        <is>
          <t>Any legal, incident, advice, permission or commercial decision</t>
        </is>
      </c>
    </row>
  </sheetData>
  <mergeCells count="2">
    <mergeCell ref="B3:J3"/>
    <mergeCell ref="B2:J2"/>
  </mergeCells>
  <pageMargins left="0.75" right="0.75" top="1" bottom="1" header="0.5" footer="0.5"/>
  <headerFooter>
    <oddHeader/>
    <oddFooter>&amp;CGenerated 2026-09-22 | Preliminary screening tool — human review required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6" customWidth="1" min="3" max="3"/>
    <col width="17" customWidth="1" min="4" max="4"/>
    <col width="10" customWidth="1" min="5" max="5"/>
    <col width="43" customWidth="1" min="6" max="6"/>
    <col width="21" customWidth="1" min="7" max="7"/>
    <col width="17" customWidth="1" min="8" max="8"/>
    <col width="42" customWidth="1" min="9" max="9"/>
  </cols>
  <sheetData>
    <row r="1"/>
    <row r="2" ht="30" customHeight="1">
      <c r="B2" s="1" t="inlineStr">
        <is>
          <t>MVP Data Model</t>
        </is>
      </c>
      <c r="C2" s="2" t="n"/>
      <c r="D2" s="2" t="n"/>
      <c r="E2" s="2" t="n"/>
      <c r="F2" s="2" t="n"/>
      <c r="G2" s="2" t="n"/>
      <c r="H2" s="2" t="n"/>
      <c r="I2" s="2" t="n"/>
    </row>
    <row r="3" ht="28" customHeight="1">
      <c r="B3" s="3" t="inlineStr">
        <is>
          <t>Logical schema supporting interview state, provenance, ROI, controls, agent identities and pilot measurement.</t>
        </is>
      </c>
      <c r="C3" s="2" t="n"/>
      <c r="D3" s="2" t="n"/>
      <c r="E3" s="2" t="n"/>
      <c r="F3" s="2" t="n"/>
      <c r="G3" s="2" t="n"/>
      <c r="H3" s="2" t="n"/>
      <c r="I3" s="2" t="n"/>
    </row>
    <row r="4"/>
    <row r="5">
      <c r="B5" s="15" t="inlineStr">
        <is>
          <t>Entity</t>
        </is>
      </c>
      <c r="C5" s="15" t="inlineStr">
        <is>
          <t>Field</t>
        </is>
      </c>
      <c r="D5" s="15" t="inlineStr">
        <is>
          <t>Type</t>
        </is>
      </c>
      <c r="E5" s="15" t="inlineStr">
        <is>
          <t>Required</t>
        </is>
      </c>
      <c r="F5" s="15" t="inlineStr">
        <is>
          <t>Definition / values</t>
        </is>
      </c>
      <c r="G5" s="15" t="inlineStr">
        <is>
          <t>Source owner</t>
        </is>
      </c>
      <c r="H5" s="15" t="inlineStr">
        <is>
          <t>Sensitivity</t>
        </is>
      </c>
      <c r="I5" s="15" t="inlineStr">
        <is>
          <t>Validation rule</t>
        </is>
      </c>
    </row>
    <row r="6" ht="34" customHeight="1">
      <c r="B6" s="16" t="inlineStr">
        <is>
          <t>Organization</t>
        </is>
      </c>
      <c r="C6" s="16" t="inlineStr">
        <is>
          <t>organization_id</t>
        </is>
      </c>
      <c r="D6" s="16" t="inlineStr">
        <is>
          <t>UUID</t>
        </is>
      </c>
      <c r="E6" s="16" t="inlineStr">
        <is>
          <t>Yes</t>
        </is>
      </c>
      <c r="F6" s="16" t="inlineStr">
        <is>
          <t>Primary key</t>
        </is>
      </c>
      <c r="G6" s="16" t="inlineStr">
        <is>
          <t>System</t>
        </is>
      </c>
      <c r="H6" s="16" t="inlineStr">
        <is>
          <t>Internal</t>
        </is>
      </c>
      <c r="I6" s="16" t="inlineStr">
        <is>
          <t>Unique</t>
        </is>
      </c>
    </row>
    <row r="7" ht="34" customHeight="1">
      <c r="B7" s="16" t="inlineStr">
        <is>
          <t>Organization</t>
        </is>
      </c>
      <c r="C7" s="16" t="inlineStr">
        <is>
          <t>jurisdiction</t>
        </is>
      </c>
      <c r="D7" s="16" t="inlineStr">
        <is>
          <t>Text</t>
        </is>
      </c>
      <c r="E7" s="16" t="inlineStr">
        <is>
          <t>Yes</t>
        </is>
      </c>
      <c r="F7" s="16" t="inlineStr">
        <is>
          <t>Country and regulatory perimeter</t>
        </is>
      </c>
      <c r="G7" s="16" t="inlineStr">
        <is>
          <t>Compliance</t>
        </is>
      </c>
      <c r="H7" s="16" t="inlineStr">
        <is>
          <t>Internal</t>
        </is>
      </c>
      <c r="I7" s="16" t="inlineStr">
        <is>
          <t>Must be confirmed</t>
        </is>
      </c>
    </row>
    <row r="8" ht="34" customHeight="1">
      <c r="B8" s="16" t="inlineStr">
        <is>
          <t>InterviewSession</t>
        </is>
      </c>
      <c r="C8" s="16" t="inlineStr">
        <is>
          <t>session_id</t>
        </is>
      </c>
      <c r="D8" s="16" t="inlineStr">
        <is>
          <t>UUID</t>
        </is>
      </c>
      <c r="E8" s="16" t="inlineStr">
        <is>
          <t>Yes</t>
        </is>
      </c>
      <c r="F8" s="16" t="inlineStr">
        <is>
          <t>Session key</t>
        </is>
      </c>
      <c r="G8" s="16" t="inlineStr">
        <is>
          <t>System</t>
        </is>
      </c>
      <c r="H8" s="16" t="inlineStr">
        <is>
          <t>Internal</t>
        </is>
      </c>
      <c r="I8" s="16" t="inlineStr">
        <is>
          <t>Unique</t>
        </is>
      </c>
    </row>
    <row r="9" ht="34" customHeight="1">
      <c r="B9" s="16" t="inlineStr">
        <is>
          <t>InterviewSession</t>
        </is>
      </c>
      <c r="C9" s="16" t="inlineStr">
        <is>
          <t>notice_version</t>
        </is>
      </c>
      <c r="D9" s="16" t="inlineStr">
        <is>
          <t>Text</t>
        </is>
      </c>
      <c r="E9" s="16" t="inlineStr">
        <is>
          <t>Yes</t>
        </is>
      </c>
      <c r="F9" s="16" t="inlineStr">
        <is>
          <t>Approved notice version</t>
        </is>
      </c>
      <c r="G9" s="16" t="inlineStr">
        <is>
          <t>System</t>
        </is>
      </c>
      <c r="H9" s="16" t="inlineStr">
        <is>
          <t>Internal</t>
        </is>
      </c>
      <c r="I9" s="16" t="inlineStr">
        <is>
          <t>Before consent</t>
        </is>
      </c>
    </row>
    <row r="10" ht="34" customHeight="1">
      <c r="B10" s="16" t="inlineStr">
        <is>
          <t>InterviewSession</t>
        </is>
      </c>
      <c r="C10" s="16" t="inlineStr">
        <is>
          <t>consent_status</t>
        </is>
      </c>
      <c r="D10" s="16" t="inlineStr">
        <is>
          <t>Enum</t>
        </is>
      </c>
      <c r="E10" s="16" t="inlineStr">
        <is>
          <t>Yes</t>
        </is>
      </c>
      <c r="F10" s="16" t="inlineStr">
        <is>
          <t>Accepted; Declined; Withdrawn</t>
        </is>
      </c>
      <c r="G10" s="16" t="inlineStr">
        <is>
          <t>Respondent</t>
        </is>
      </c>
      <c r="H10" s="16" t="inlineStr">
        <is>
          <t>Personal</t>
        </is>
      </c>
      <c r="I10" s="16" t="inlineStr">
        <is>
          <t>No interview unless accepted</t>
        </is>
      </c>
    </row>
    <row r="11" ht="34" customHeight="1">
      <c r="B11" s="16" t="inlineStr">
        <is>
          <t>InterviewSession</t>
        </is>
      </c>
      <c r="C11" s="16" t="inlineStr">
        <is>
          <t>state</t>
        </is>
      </c>
      <c r="D11" s="16" t="inlineStr">
        <is>
          <t>Enum</t>
        </is>
      </c>
      <c r="E11" s="16" t="inlineStr">
        <is>
          <t>Yes</t>
        </is>
      </c>
      <c r="F11" s="16" t="inlineStr">
        <is>
          <t>Disclosure through Handoff</t>
        </is>
      </c>
      <c r="G11" s="16" t="inlineStr">
        <is>
          <t>System</t>
        </is>
      </c>
      <c r="H11" s="16" t="inlineStr">
        <is>
          <t>Internal</t>
        </is>
      </c>
      <c r="I11" s="16" t="inlineStr">
        <is>
          <t>Deterministic</t>
        </is>
      </c>
    </row>
    <row r="12" ht="34" customHeight="1">
      <c r="B12" s="16" t="inlineStr">
        <is>
          <t>InterviewSession</t>
        </is>
      </c>
      <c r="C12" s="16" t="inlineStr">
        <is>
          <t>questionnaire_model_versions</t>
        </is>
      </c>
      <c r="D12" s="16" t="inlineStr">
        <is>
          <t>Text</t>
        </is>
      </c>
      <c r="E12" s="16" t="inlineStr">
        <is>
          <t>Yes</t>
        </is>
      </c>
      <c r="F12" s="16" t="inlineStr">
        <is>
          <t>Questionnaire, prompt, model and tool versions</t>
        </is>
      </c>
      <c r="G12" s="16" t="inlineStr">
        <is>
          <t>System</t>
        </is>
      </c>
      <c r="H12" s="16" t="inlineStr">
        <is>
          <t>Internal</t>
        </is>
      </c>
      <c r="I12" s="16" t="inlineStr">
        <is>
          <t>Immutable per session</t>
        </is>
      </c>
    </row>
    <row r="13" ht="34" customHeight="1">
      <c r="B13" s="16" t="inlineStr">
        <is>
          <t>Respondent</t>
        </is>
      </c>
      <c r="C13" s="16" t="inlineStr">
        <is>
          <t>role_authority</t>
        </is>
      </c>
      <c r="D13" s="16" t="inlineStr">
        <is>
          <t>Enum</t>
        </is>
      </c>
      <c r="E13" s="16" t="inlineStr">
        <is>
          <t>Yes</t>
        </is>
      </c>
      <c r="F13" s="16" t="inlineStr">
        <is>
          <t>Role plus direct/oversight/both</t>
        </is>
      </c>
      <c r="G13" s="16" t="inlineStr">
        <is>
          <t>Respondent</t>
        </is>
      </c>
      <c r="H13" s="16" t="inlineStr">
        <is>
          <t>Internal</t>
        </is>
      </c>
      <c r="I13" s="16" t="inlineStr">
        <is>
          <t>Required provenance</t>
        </is>
      </c>
    </row>
    <row r="14" ht="34" customHeight="1">
      <c r="B14" s="16" t="inlineStr">
        <is>
          <t>UseCase</t>
        </is>
      </c>
      <c r="C14" s="16" t="inlineStr">
        <is>
          <t>deliverable_name</t>
        </is>
      </c>
      <c r="D14" s="16" t="inlineStr">
        <is>
          <t>Text</t>
        </is>
      </c>
      <c r="E14" s="16" t="inlineStr">
        <is>
          <t>Yes</t>
        </is>
      </c>
      <c r="F14" s="16" t="inlineStr">
        <is>
          <t>One bounded recurring output</t>
        </is>
      </c>
      <c r="G14" s="16" t="inlineStr">
        <is>
          <t>Adviser</t>
        </is>
      </c>
      <c r="H14" s="16" t="inlineStr">
        <is>
          <t>Internal</t>
        </is>
      </c>
      <c r="I14" s="16" t="inlineStr">
        <is>
          <t>Reject broad process</t>
        </is>
      </c>
    </row>
    <row r="15" ht="34" customHeight="1">
      <c r="B15" s="16" t="inlineStr">
        <is>
          <t>UseCase</t>
        </is>
      </c>
      <c r="C15" s="16" t="inlineStr">
        <is>
          <t>recipient_outcome</t>
        </is>
      </c>
      <c r="D15" s="16" t="inlineStr">
        <is>
          <t>Text</t>
        </is>
      </c>
      <c r="E15" s="16" t="inlineStr">
        <is>
          <t>Yes</t>
        </is>
      </c>
      <c r="F15" s="16" t="inlineStr">
        <is>
          <t>User and enabled decision/action</t>
        </is>
      </c>
      <c r="G15" s="16" t="inlineStr">
        <is>
          <t>Adviser</t>
        </is>
      </c>
      <c r="H15" s="16" t="inlineStr">
        <is>
          <t>Internal</t>
        </is>
      </c>
      <c r="I15" s="16" t="inlineStr">
        <is>
          <t>Required</t>
        </is>
      </c>
    </row>
    <row r="16" ht="34" customHeight="1">
      <c r="B16" s="16" t="inlineStr">
        <is>
          <t>UseCase</t>
        </is>
      </c>
      <c r="C16" s="16" t="inlineStr">
        <is>
          <t>start_finish_events</t>
        </is>
      </c>
      <c r="D16" s="16" t="inlineStr">
        <is>
          <t>Text</t>
        </is>
      </c>
      <c r="E16" s="16" t="inlineStr">
        <is>
          <t>Yes</t>
        </is>
      </c>
      <c r="F16" s="16" t="inlineStr">
        <is>
          <t>Observable measurement boundary</t>
        </is>
      </c>
      <c r="G16" s="16" t="inlineStr">
        <is>
          <t>Operations</t>
        </is>
      </c>
      <c r="H16" s="16" t="inlineStr">
        <is>
          <t>Internal</t>
        </is>
      </c>
      <c r="I16" s="16" t="inlineStr">
        <is>
          <t>Accepted finish</t>
        </is>
      </c>
    </row>
    <row r="17" ht="34" customHeight="1">
      <c r="B17" s="16" t="inlineStr">
        <is>
          <t>UseCase</t>
        </is>
      </c>
      <c r="C17" s="16" t="inlineStr">
        <is>
          <t>output_class</t>
        </is>
      </c>
      <c r="D17" s="16" t="inlineStr">
        <is>
          <t>Enum</t>
        </is>
      </c>
      <c r="E17" s="16" t="inlineStr">
        <is>
          <t>Yes</t>
        </is>
      </c>
      <c r="F17" s="16" t="inlineStr">
        <is>
          <t>Preparation; Communication; Advice; Record; Supervision</t>
        </is>
      </c>
      <c r="G17" s="16" t="inlineStr">
        <is>
          <t>Compliance</t>
        </is>
      </c>
      <c r="H17" s="16" t="inlineStr">
        <is>
          <t>Restricted</t>
        </is>
      </c>
      <c r="I17" s="16" t="inlineStr">
        <is>
          <t>Advice escalates</t>
        </is>
      </c>
    </row>
    <row r="18" ht="34" customHeight="1">
      <c r="B18" s="16" t="inlineStr">
        <is>
          <t>UseCase</t>
        </is>
      </c>
      <c r="C18" s="16" t="inlineStr">
        <is>
          <t>trust_boundary</t>
        </is>
      </c>
      <c r="D18" s="16" t="inlineStr">
        <is>
          <t>Enum</t>
        </is>
      </c>
      <c r="E18" s="16" t="inlineStr">
        <is>
          <t>Yes</t>
        </is>
      </c>
      <c r="F18" s="16" t="inlineStr">
        <is>
          <t>Organize through external action</t>
        </is>
      </c>
      <c r="G18" s="16" t="inlineStr">
        <is>
          <t>Sponsor</t>
        </is>
      </c>
      <c r="H18" s="16" t="inlineStr">
        <is>
          <t>Restricted</t>
        </is>
      </c>
      <c r="I18" s="16" t="inlineStr">
        <is>
          <t>Not permission</t>
        </is>
      </c>
    </row>
    <row r="19" ht="34" customHeight="1">
      <c r="B19" s="16" t="inlineStr">
        <is>
          <t>UseCase</t>
        </is>
      </c>
      <c r="C19" s="16" t="inlineStr">
        <is>
          <t>status</t>
        </is>
      </c>
      <c r="D19" s="16" t="inlineStr">
        <is>
          <t>Enum</t>
        </is>
      </c>
      <c r="E19" s="16" t="inlineStr">
        <is>
          <t>Yes</t>
        </is>
      </c>
      <c r="F19" s="16" t="inlineStr">
        <is>
          <t>Stop; Measure; Prototype; Pilot</t>
        </is>
      </c>
      <c r="G19" s="16" t="inlineStr">
        <is>
          <t>Human reviewer</t>
        </is>
      </c>
      <c r="H19" s="16" t="inlineStr">
        <is>
          <t>Internal</t>
        </is>
      </c>
      <c r="I19" s="16" t="inlineStr">
        <is>
          <t>No auto production approval</t>
        </is>
      </c>
    </row>
    <row r="20" ht="34" customHeight="1">
      <c r="B20" s="16" t="inlineStr">
        <is>
          <t>EvidenceValue</t>
        </is>
      </c>
      <c r="C20" s="16" t="inlineStr">
        <is>
          <t>field_key</t>
        </is>
      </c>
      <c r="D20" s="16" t="inlineStr">
        <is>
          <t>Text</t>
        </is>
      </c>
      <c r="E20" s="16" t="inlineStr">
        <is>
          <t>Yes</t>
        </is>
      </c>
      <c r="F20" s="16" t="inlineStr">
        <is>
          <t>Supported field</t>
        </is>
      </c>
      <c r="G20" s="16" t="inlineStr">
        <is>
          <t>System</t>
        </is>
      </c>
      <c r="H20" s="16" t="inlineStr">
        <is>
          <t>Internal</t>
        </is>
      </c>
      <c r="I20" s="16" t="inlineStr">
        <is>
          <t>Maps schema</t>
        </is>
      </c>
    </row>
    <row r="21" ht="34" customHeight="1">
      <c r="B21" s="16" t="inlineStr">
        <is>
          <t>EvidenceValue</t>
        </is>
      </c>
      <c r="C21" s="16" t="inlineStr">
        <is>
          <t>value_range_unit_period</t>
        </is>
      </c>
      <c r="D21" s="16" t="inlineStr">
        <is>
          <t>Variant</t>
        </is>
      </c>
      <c r="E21" s="16" t="inlineStr">
        <is>
          <t>No</t>
        </is>
      </c>
      <c r="F21" s="16" t="inlineStr">
        <is>
          <t>Point/range, unit and period</t>
        </is>
      </c>
      <c r="G21" s="16" t="inlineStr">
        <is>
          <t>Respondent</t>
        </is>
      </c>
      <c r="H21" s="16" t="inlineStr">
        <is>
          <t>Varies</t>
        </is>
      </c>
      <c r="I21" s="16" t="inlineStr">
        <is>
          <t>Unknown allowed</t>
        </is>
      </c>
    </row>
    <row r="22" ht="34" customHeight="1">
      <c r="B22" s="16" t="inlineStr">
        <is>
          <t>EvidenceValue</t>
        </is>
      </c>
      <c r="C22" s="16" t="inlineStr">
        <is>
          <t>source_role_type_grade</t>
        </is>
      </c>
      <c r="D22" s="16" t="inlineStr">
        <is>
          <t>Enum</t>
        </is>
      </c>
      <c r="E22" s="16" t="inlineStr">
        <is>
          <t>Yes</t>
        </is>
      </c>
      <c r="F22" s="16" t="inlineStr">
        <is>
          <t>Role, evidence type and A–E grade</t>
        </is>
      </c>
      <c r="G22" s="16" t="inlineStr">
        <is>
          <t>System/Human</t>
        </is>
      </c>
      <c r="H22" s="16" t="inlineStr">
        <is>
          <t>Internal</t>
        </is>
      </c>
      <c r="I22" s="16" t="inlineStr">
        <is>
          <t>Inference not fact</t>
        </is>
      </c>
    </row>
    <row r="23" ht="34" customHeight="1">
      <c r="B23" s="16" t="inlineStr">
        <is>
          <t>EvidenceValue</t>
        </is>
      </c>
      <c r="C23" s="16" t="inlineStr">
        <is>
          <t>confidence_validation</t>
        </is>
      </c>
      <c r="D23" s="16" t="inlineStr">
        <is>
          <t>Enum</t>
        </is>
      </c>
      <c r="E23" s="16" t="inlineStr">
        <is>
          <t>Yes</t>
        </is>
      </c>
      <c r="F23" s="16" t="inlineStr">
        <is>
          <t>Confidence plus validation owner/action</t>
        </is>
      </c>
      <c r="G23" s="16" t="inlineStr">
        <is>
          <t>System/Human</t>
        </is>
      </c>
      <c r="H23" s="16" t="inlineStr">
        <is>
          <t>Internal</t>
        </is>
      </c>
      <c r="I23" s="16" t="inlineStr">
        <is>
          <t>Basis visible</t>
        </is>
      </c>
    </row>
    <row r="24" ht="34" customHeight="1">
      <c r="B24" s="16" t="inlineStr">
        <is>
          <t>EvidenceValue</t>
        </is>
      </c>
      <c r="C24" s="16" t="inlineStr">
        <is>
          <t>sensitivity</t>
        </is>
      </c>
      <c r="D24" s="16" t="inlineStr">
        <is>
          <t>Enum</t>
        </is>
      </c>
      <c r="E24" s="16" t="inlineStr">
        <is>
          <t>Yes</t>
        </is>
      </c>
      <c r="F24" s="16" t="inlineStr">
        <is>
          <t>Public; Internal; Confidential; Personal; Financial; Credential</t>
        </is>
      </c>
      <c r="G24" s="16" t="inlineStr">
        <is>
          <t>Compliance</t>
        </is>
      </c>
      <c r="H24" s="16" t="inlineStr">
        <is>
          <t>Restricted</t>
        </is>
      </c>
      <c r="I24" s="16" t="inlineStr">
        <is>
          <t>Credential triggers incident</t>
        </is>
      </c>
    </row>
    <row r="25" ht="34" customHeight="1">
      <c r="B25" s="16" t="inlineStr">
        <is>
          <t>RoleEffort</t>
        </is>
      </c>
      <c r="C25" s="16" t="inlineStr">
        <is>
          <t>role_hours</t>
        </is>
      </c>
      <c r="D25" s="16" t="inlineStr">
        <is>
          <t>Range</t>
        </is>
      </c>
      <c r="E25" s="16" t="inlineStr">
        <is>
          <t>Yes</t>
        </is>
      </c>
      <c r="F25" s="16" t="inlineStr">
        <is>
          <t>Baseline, review and assisted hours by role</t>
        </is>
      </c>
      <c r="G25" s="16" t="inlineStr">
        <is>
          <t>Operations/Pilot</t>
        </is>
      </c>
      <c r="H25" s="16" t="inlineStr">
        <is>
          <t>Internal</t>
        </is>
      </c>
      <c r="I25" s="16" t="inlineStr">
        <is>
          <t>Waiting excluded</t>
        </is>
      </c>
    </row>
    <row r="26" ht="34" customHeight="1">
      <c r="B26" s="16" t="inlineStr">
        <is>
          <t>RoleEffort</t>
        </is>
      </c>
      <c r="C26" s="16" t="inlineStr">
        <is>
          <t>loaded_cost</t>
        </is>
      </c>
      <c r="D26" s="16" t="inlineStr">
        <is>
          <t>Range</t>
        </is>
      </c>
      <c r="E26" s="16" t="inlineStr">
        <is>
          <t>No</t>
        </is>
      </c>
      <c r="F26" s="16" t="inlineStr">
        <is>
          <t>Finance-approved cost basis</t>
        </is>
      </c>
      <c r="G26" s="16" t="inlineStr">
        <is>
          <t>Finance</t>
        </is>
      </c>
      <c r="H26" s="16" t="inlineStr">
        <is>
          <t>Confidential</t>
        </is>
      </c>
      <c r="I26" s="16" t="inlineStr">
        <is>
          <t>Required for equivalent</t>
        </is>
      </c>
    </row>
    <row r="27" ht="34" customHeight="1">
      <c r="B27" s="16" t="inlineStr">
        <is>
          <t>DataAsset</t>
        </is>
      </c>
      <c r="C27" s="16" t="inlineStr">
        <is>
          <t>category_purpose_source</t>
        </is>
      </c>
      <c r="D27" s="16" t="inlineStr">
        <is>
          <t>Text</t>
        </is>
      </c>
      <c r="E27" s="16" t="inlineStr">
        <is>
          <t>Yes</t>
        </is>
      </c>
      <c r="F27" s="16" t="inlineStr">
        <is>
          <t>Minimum category, purpose, source system</t>
        </is>
      </c>
      <c r="G27" s="16" t="inlineStr">
        <is>
          <t>Compliance/Data</t>
        </is>
      </c>
      <c r="H27" s="16" t="inlineStr">
        <is>
          <t>Restricted</t>
        </is>
      </c>
      <c r="I27" s="16" t="inlineStr">
        <is>
          <t>No live content in chat</t>
        </is>
      </c>
    </row>
    <row r="28" ht="34" customHeight="1">
      <c r="B28" s="16" t="inlineStr">
        <is>
          <t>DataAsset</t>
        </is>
      </c>
      <c r="C28" s="16" t="inlineStr">
        <is>
          <t>permission_pilot_variant</t>
        </is>
      </c>
      <c r="D28" s="16" t="inlineStr">
        <is>
          <t>Enum</t>
        </is>
      </c>
      <c r="E28" s="16" t="inlineStr">
        <is>
          <t>Yes</t>
        </is>
      </c>
      <c r="F28" s="16" t="inlineStr">
        <is>
          <t>Permission and least-sensitive variant</t>
        </is>
      </c>
      <c r="G28" s="16" t="inlineStr">
        <is>
          <t>Compliance</t>
        </is>
      </c>
      <c r="H28" s="16" t="inlineStr">
        <is>
          <t>Restricted</t>
        </is>
      </c>
      <c r="I28" s="16" t="inlineStr">
        <is>
          <t>Unknown blocks live use</t>
        </is>
      </c>
    </row>
    <row r="29" ht="34" customHeight="1">
      <c r="B29" s="16" t="inlineStr">
        <is>
          <t>DataAsset</t>
        </is>
      </c>
      <c r="C29" s="16" t="inlineStr">
        <is>
          <t>storage_retention_access</t>
        </is>
      </c>
      <c r="D29" s="16" t="inlineStr">
        <is>
          <t>Text</t>
        </is>
      </c>
      <c r="E29" s="16" t="inlineStr">
        <is>
          <t>Yes</t>
        </is>
      </c>
      <c r="F29" s="16" t="inlineStr">
        <is>
          <t>Region, deletion, human/agent access</t>
        </is>
      </c>
      <c r="G29" s="16" t="inlineStr">
        <is>
          <t>Compliance/Security</t>
        </is>
      </c>
      <c r="H29" s="16" t="inlineStr">
        <is>
          <t>Restricted</t>
        </is>
      </c>
      <c r="I29" s="16" t="inlineStr">
        <is>
          <t>Owner required</t>
        </is>
      </c>
    </row>
    <row r="30" ht="34" customHeight="1">
      <c r="B30" s="16" t="inlineStr">
        <is>
          <t>Control</t>
        </is>
      </c>
      <c r="C30" s="16" t="inlineStr">
        <is>
          <t>type_owner_status_evidence</t>
        </is>
      </c>
      <c r="D30" s="16" t="inlineStr">
        <is>
          <t>Text</t>
        </is>
      </c>
      <c r="E30" s="16" t="inlineStr">
        <is>
          <t>Yes</t>
        </is>
      </c>
      <c r="F30" s="16" t="inlineStr">
        <is>
          <t>Approval, access, logging, retention, testing, monitoring, incident</t>
        </is>
      </c>
      <c r="G30" s="16" t="inlineStr">
        <is>
          <t>Compliance</t>
        </is>
      </c>
      <c r="H30" s="16" t="inlineStr">
        <is>
          <t>Restricted</t>
        </is>
      </c>
      <c r="I30" s="16" t="inlineStr">
        <is>
          <t>Failed blocks</t>
        </is>
      </c>
    </row>
    <row r="31" ht="34" customHeight="1">
      <c r="B31" s="16" t="inlineStr">
        <is>
          <t>AgentIdentity</t>
        </is>
      </c>
      <c r="C31" s="16" t="inlineStr">
        <is>
          <t>agent_id_role</t>
        </is>
      </c>
      <c r="D31" s="16" t="inlineStr">
        <is>
          <t>UUID/Text</t>
        </is>
      </c>
      <c r="E31" s="16" t="inlineStr">
        <is>
          <t>Yes</t>
        </is>
      </c>
      <c r="F31" s="16" t="inlineStr">
        <is>
          <t>Non-human user and bounded role</t>
        </is>
      </c>
      <c r="G31" s="16" t="inlineStr">
        <is>
          <t>Platform/Owner</t>
        </is>
      </c>
      <c r="H31" s="16" t="inlineStr">
        <is>
          <t>Internal</t>
        </is>
      </c>
      <c r="I31" s="16" t="inlineStr">
        <is>
          <t>Unique, named</t>
        </is>
      </c>
    </row>
    <row r="32" ht="34" customHeight="1">
      <c r="B32" s="16" t="inlineStr">
        <is>
          <t>AgentIdentity</t>
        </is>
      </c>
      <c r="C32" s="16" t="inlineStr">
        <is>
          <t>permissions_approval_policy</t>
        </is>
      </c>
      <c r="D32" s="16" t="inlineStr">
        <is>
          <t>Array/Text</t>
        </is>
      </c>
      <c r="E32" s="16" t="inlineStr">
        <is>
          <t>Yes</t>
        </is>
      </c>
      <c r="F32" s="16" t="inlineStr">
        <is>
          <t>Least privilege and approval limit</t>
        </is>
      </c>
      <c r="G32" s="16" t="inlineStr">
        <is>
          <t>Security/Compliance</t>
        </is>
      </c>
      <c r="H32" s="16" t="inlineStr">
        <is>
          <t>Restricted</t>
        </is>
      </c>
      <c r="I32" s="16" t="inlineStr">
        <is>
          <t>Deny by default</t>
        </is>
      </c>
    </row>
    <row r="33" ht="34" customHeight="1">
      <c r="B33" s="16" t="inlineStr">
        <is>
          <t>AgentIdentity</t>
        </is>
      </c>
      <c r="C33" s="16" t="inlineStr">
        <is>
          <t>action_log</t>
        </is>
      </c>
      <c r="D33" s="16" t="inlineStr">
        <is>
          <t>Reference</t>
        </is>
      </c>
      <c r="E33" s="16" t="inlineStr">
        <is>
          <t>Yes</t>
        </is>
      </c>
      <c r="F33" s="16" t="inlineStr">
        <is>
          <t>Actor, version, action, approval and outcome</t>
        </is>
      </c>
      <c r="G33" s="16" t="inlineStr">
        <is>
          <t>Platform</t>
        </is>
      </c>
      <c r="H33" s="16" t="inlineStr">
        <is>
          <t>Restricted</t>
        </is>
      </c>
      <c r="I33" s="16" t="inlineStr">
        <is>
          <t>Immutable audit</t>
        </is>
      </c>
    </row>
    <row r="34" ht="34" customHeight="1">
      <c r="B34" s="16" t="inlineStr">
        <is>
          <t>ROIScenario</t>
        </is>
      </c>
      <c r="C34" s="16" t="inlineStr">
        <is>
          <t>capacity_benefit_cost_roi</t>
        </is>
      </c>
      <c r="D34" s="16" t="inlineStr">
        <is>
          <t>Formula</t>
        </is>
      </c>
      <c r="E34" s="16" t="inlineStr">
        <is>
          <t>Yes</t>
        </is>
      </c>
      <c r="F34" s="16" t="inlineStr">
        <is>
          <t>Capacity separate from benefit; full cost and ROI</t>
        </is>
      </c>
      <c r="G34" s="16" t="inlineStr">
        <is>
          <t>ROI engine</t>
        </is>
      </c>
      <c r="H34" s="16" t="inlineStr">
        <is>
          <t>Confidential</t>
        </is>
      </c>
      <c r="I34" s="16" t="inlineStr">
        <is>
          <t>No missing costs</t>
        </is>
      </c>
    </row>
    <row r="35" ht="34" customHeight="1">
      <c r="B35" s="16" t="inlineStr">
        <is>
          <t>PilotMetric</t>
        </is>
      </c>
      <c r="C35" s="16" t="inlineStr">
        <is>
          <t>type_baseline_pilot_threshold</t>
        </is>
      </c>
      <c r="D35" s="16" t="inlineStr">
        <is>
          <t>Variant</t>
        </is>
      </c>
      <c r="E35" s="16" t="inlineStr">
        <is>
          <t>Yes</t>
        </is>
      </c>
      <c r="F35" s="16" t="inlineStr">
        <is>
          <t>Matched pre/post metric and acceptance threshold</t>
        </is>
      </c>
      <c r="G35" s="16" t="inlineStr">
        <is>
          <t>Pilot owner</t>
        </is>
      </c>
      <c r="H35" s="16" t="inlineStr">
        <is>
          <t>Internal</t>
        </is>
      </c>
      <c r="I35" s="16" t="inlineStr">
        <is>
          <t>Deployment-like evidence</t>
        </is>
      </c>
    </row>
  </sheetData>
  <mergeCells count="2">
    <mergeCell ref="B3:I3"/>
    <mergeCell ref="B2:I2"/>
  </mergeCells>
  <pageMargins left="0.75" right="0.75" top="1" bottom="1" header="0.5" footer="0.5"/>
  <headerFooter>
    <oddHeader/>
    <oddFooter>&amp;CGenerated 2026-09-22 | Preliminary screening tool — human review required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21" customWidth="1" min="10" max="10"/>
    <col width="21" customWidth="1" min="11" max="11"/>
    <col width="40" customWidth="1" min="12" max="12"/>
    <col width="22" customWidth="1" min="13" max="13"/>
  </cols>
  <sheetData>
    <row r="1"/>
    <row r="2" ht="30" customHeight="1">
      <c r="B2" s="1" t="inlineStr">
        <is>
          <t>Evidence Inputs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8" customHeight="1">
      <c r="B3" s="3" t="inlineStr">
        <is>
          <t>Yellow cells are client/project inputs. Store ranges and provenance; do not replace unknowns with invented values.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2" customHeight="1">
      <c r="B4" s="4" t="inlineStr">
        <is>
          <t>Use-case identity and governance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/>
    <row r="6">
      <c r="B6" s="8" t="inlineStr">
        <is>
          <t>Use case name</t>
        </is>
      </c>
      <c r="C6" s="17" t="n"/>
      <c r="G6" s="18" t="inlineStr">
        <is>
          <t>Short bounded label</t>
        </is>
      </c>
    </row>
    <row r="7">
      <c r="B7" s="8" t="inlineStr">
        <is>
          <t>Firm / entity</t>
        </is>
      </c>
      <c r="C7" s="17" t="n"/>
      <c r="G7" s="18" t="inlineStr">
        <is>
          <t>Legal entity</t>
        </is>
      </c>
    </row>
    <row r="8">
      <c r="B8" s="8" t="inlineStr">
        <is>
          <t>Jurisdiction</t>
        </is>
      </c>
      <c r="C8" s="17" t="n"/>
      <c r="G8" s="18" t="inlineStr">
        <is>
          <t>Actual perimeter</t>
        </is>
      </c>
    </row>
    <row r="9">
      <c r="B9" s="8" t="inlineStr">
        <is>
          <t>Recurring deliverable</t>
        </is>
      </c>
      <c r="C9" s="17" t="n"/>
      <c r="G9" s="18" t="inlineStr">
        <is>
          <t>Concrete artifact/result</t>
        </is>
      </c>
    </row>
    <row r="10">
      <c r="B10" s="8" t="inlineStr">
        <is>
          <t>Recipient / user</t>
        </is>
      </c>
      <c r="C10" s="17" t="n"/>
      <c r="G10" s="18" t="inlineStr">
        <is>
          <t>Role or client type</t>
        </is>
      </c>
    </row>
    <row r="11">
      <c r="B11" s="8" t="inlineStr">
        <is>
          <t>Start event</t>
        </is>
      </c>
      <c r="C11" s="17" t="n"/>
      <c r="G11" s="18" t="inlineStr">
        <is>
          <t>Observable trigger</t>
        </is>
      </c>
    </row>
    <row r="12">
      <c r="B12" s="8" t="inlineStr">
        <is>
          <t>Accepted completion</t>
        </is>
      </c>
      <c r="C12" s="17" t="n"/>
      <c r="G12" s="18" t="inlineStr">
        <is>
          <t>Observable acceptance</t>
        </is>
      </c>
    </row>
    <row r="13">
      <c r="B13" s="8" t="inlineStr">
        <is>
          <t>Value mechanism</t>
        </is>
      </c>
      <c r="C13" s="17" t="n"/>
      <c r="G13" s="18" t="inlineStr">
        <is>
          <t>Cash; avoidance; margin; quality/risk; capacity</t>
        </is>
      </c>
    </row>
    <row r="14">
      <c r="B14" s="8" t="inlineStr">
        <is>
          <t>Human approver</t>
        </is>
      </c>
      <c r="C14" s="17" t="n"/>
      <c r="G14" s="18" t="inlineStr">
        <is>
          <t>Qualified role</t>
        </is>
      </c>
    </row>
    <row r="15">
      <c r="B15" s="8" t="inlineStr">
        <is>
          <t>Pilot data class</t>
        </is>
      </c>
      <c r="C15" s="17" t="n"/>
      <c r="G15" s="18" t="inlineStr">
        <is>
          <t>Least sensitive permitted variant</t>
        </is>
      </c>
    </row>
    <row r="16">
      <c r="B16" s="8" t="inlineStr">
        <is>
          <t>Business owner</t>
        </is>
      </c>
      <c r="C16" s="17" t="n"/>
      <c r="G16" s="18" t="inlineStr">
        <is>
          <t>Accountable sponsor</t>
        </is>
      </c>
    </row>
    <row r="17"/>
    <row r="18"/>
    <row r="19" ht="22" customHeight="1">
      <c r="B19" s="4" t="inlineStr">
        <is>
          <t>Scenario assumptions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/>
    <row r="21">
      <c r="B21" s="15" t="inlineStr">
        <is>
          <t>Key</t>
        </is>
      </c>
      <c r="C21" s="15" t="inlineStr">
        <is>
          <t>Input</t>
        </is>
      </c>
      <c r="D21" s="15" t="inlineStr">
        <is>
          <t>Low</t>
        </is>
      </c>
      <c r="E21" s="15" t="inlineStr">
        <is>
          <t>Expected</t>
        </is>
      </c>
      <c r="F21" s="15" t="inlineStr">
        <is>
          <t>High</t>
        </is>
      </c>
      <c r="G21" s="15" t="inlineStr">
        <is>
          <t>Unit</t>
        </is>
      </c>
      <c r="H21" s="15" t="inlineStr">
        <is>
          <t>Grade</t>
        </is>
      </c>
      <c r="I21" s="15" t="inlineStr">
        <is>
          <t>Source role</t>
        </is>
      </c>
      <c r="J21" s="15" t="inlineStr">
        <is>
          <t>Evidence type</t>
        </is>
      </c>
      <c r="K21" s="15" t="inlineStr">
        <is>
          <t>Validation owner</t>
        </is>
      </c>
      <c r="L21" s="15" t="inlineStr">
        <is>
          <t>Notes</t>
        </is>
      </c>
    </row>
    <row r="22" ht="28" customHeight="1">
      <c r="B22" s="13" t="inlineStr">
        <is>
          <t>monthly_volume</t>
        </is>
      </c>
      <c r="C22" s="13" t="inlineStr">
        <is>
          <t>Cases per normal month</t>
        </is>
      </c>
      <c r="D22" s="19" t="inlineStr"/>
      <c r="E22" s="19" t="inlineStr"/>
      <c r="F22" s="19" t="inlineStr"/>
      <c r="G22" s="13" t="inlineStr">
        <is>
          <t>cases/month</t>
        </is>
      </c>
      <c r="H22" s="20" t="inlineStr"/>
      <c r="I22" s="20" t="inlineStr"/>
      <c r="J22" s="20" t="inlineStr"/>
      <c r="K22" s="20" t="inlineStr"/>
      <c r="L22" s="20" t="inlineStr"/>
    </row>
    <row r="23" ht="28" customHeight="1">
      <c r="B23" s="13" t="inlineStr">
        <is>
          <t>eligible_share</t>
        </is>
      </c>
      <c r="C23" s="13" t="inlineStr">
        <is>
          <t>Eligible share</t>
        </is>
      </c>
      <c r="D23" s="21" t="inlineStr"/>
      <c r="E23" s="21" t="inlineStr"/>
      <c r="F23" s="21" t="inlineStr"/>
      <c r="G23" s="13" t="inlineStr">
        <is>
          <t>%</t>
        </is>
      </c>
      <c r="H23" s="20" t="inlineStr"/>
      <c r="I23" s="20" t="inlineStr"/>
      <c r="J23" s="20" t="inlineStr"/>
      <c r="K23" s="20" t="inlineStr"/>
      <c r="L23" s="20" t="inlineStr"/>
    </row>
    <row r="24" ht="28" customHeight="1">
      <c r="B24" s="13" t="inlineStr">
        <is>
          <t>adoption</t>
        </is>
      </c>
      <c r="C24" s="13" t="inlineStr">
        <is>
          <t>Sustained adoption</t>
        </is>
      </c>
      <c r="D24" s="21" t="inlineStr"/>
      <c r="E24" s="21" t="inlineStr"/>
      <c r="F24" s="21" t="inlineStr"/>
      <c r="G24" s="13" t="inlineStr">
        <is>
          <t>%</t>
        </is>
      </c>
      <c r="H24" s="20" t="inlineStr"/>
      <c r="I24" s="20" t="inlineStr"/>
      <c r="J24" s="20" t="inlineStr"/>
      <c r="K24" s="20" t="inlineStr"/>
      <c r="L24" s="20" t="inlineStr"/>
    </row>
    <row r="25" ht="28" customHeight="1">
      <c r="B25" s="13" t="inlineStr">
        <is>
          <t>capacity_realization</t>
        </is>
      </c>
      <c r="C25" s="13" t="inlineStr">
        <is>
          <t>Capacity realization factor (informational)</t>
        </is>
      </c>
      <c r="D25" s="21" t="inlineStr"/>
      <c r="E25" s="21" t="inlineStr"/>
      <c r="F25" s="21" t="inlineStr"/>
      <c r="G25" s="13" t="inlineStr">
        <is>
          <t>%</t>
        </is>
      </c>
      <c r="H25" s="20" t="inlineStr"/>
      <c r="I25" s="20" t="inlineStr"/>
      <c r="J25" s="20" t="inlineStr"/>
      <c r="K25" s="20" t="inlineStr"/>
      <c r="L25" s="20" t="inlineStr"/>
    </row>
    <row r="26" ht="28" customHeight="1">
      <c r="B26" s="13" t="inlineStr">
        <is>
          <t>cash_savings</t>
        </is>
      </c>
      <c r="C26" s="13" t="inlineStr">
        <is>
          <t>Confirmed annual cash saving</t>
        </is>
      </c>
      <c r="D26" s="22" t="inlineStr"/>
      <c r="E26" s="22" t="inlineStr"/>
      <c r="F26" s="22" t="inlineStr"/>
      <c r="G26" s="13" t="inlineStr">
        <is>
          <t>$ / year</t>
        </is>
      </c>
      <c r="H26" s="20" t="inlineStr"/>
      <c r="I26" s="20" t="inlineStr"/>
      <c r="J26" s="20" t="inlineStr"/>
      <c r="K26" s="20" t="inlineStr"/>
      <c r="L26" s="20" t="inlineStr"/>
    </row>
    <row r="27" ht="28" customHeight="1">
      <c r="B27" s="13" t="inlineStr">
        <is>
          <t>cost_avoidance</t>
        </is>
      </c>
      <c r="C27" s="13" t="inlineStr">
        <is>
          <t>Evidenced annual cost avoidance</t>
        </is>
      </c>
      <c r="D27" s="22" t="inlineStr"/>
      <c r="E27" s="22" t="inlineStr"/>
      <c r="F27" s="22" t="inlineStr"/>
      <c r="G27" s="13" t="inlineStr">
        <is>
          <t>$ / year</t>
        </is>
      </c>
      <c r="H27" s="20" t="inlineStr"/>
      <c r="I27" s="20" t="inlineStr"/>
      <c r="J27" s="20" t="inlineStr"/>
      <c r="K27" s="20" t="inlineStr"/>
      <c r="L27" s="20" t="inlineStr"/>
    </row>
    <row r="28" ht="28" customHeight="1">
      <c r="B28" s="13" t="inlineStr">
        <is>
          <t>incremental_cases_month</t>
        </is>
      </c>
      <c r="C28" s="13" t="inlineStr">
        <is>
          <t>Additional paid cases/month</t>
        </is>
      </c>
      <c r="D28" s="23" t="inlineStr"/>
      <c r="E28" s="23" t="inlineStr"/>
      <c r="F28" s="23" t="inlineStr"/>
      <c r="G28" s="13" t="inlineStr">
        <is>
          <t>cases/month</t>
        </is>
      </c>
      <c r="H28" s="20" t="inlineStr"/>
      <c r="I28" s="20" t="inlineStr"/>
      <c r="J28" s="20" t="inlineStr"/>
      <c r="K28" s="20" t="inlineStr"/>
      <c r="L28" s="20" t="inlineStr"/>
    </row>
    <row r="29" ht="28" customHeight="1">
      <c r="B29" s="13" t="inlineStr">
        <is>
          <t>contribution_margin_case</t>
        </is>
      </c>
      <c r="C29" s="13" t="inlineStr">
        <is>
          <t>Contribution margin/additional case</t>
        </is>
      </c>
      <c r="D29" s="22" t="inlineStr"/>
      <c r="E29" s="22" t="inlineStr"/>
      <c r="F29" s="22" t="inlineStr"/>
      <c r="G29" s="13" t="inlineStr">
        <is>
          <t>$ / case</t>
        </is>
      </c>
      <c r="H29" s="20" t="inlineStr"/>
      <c r="I29" s="20" t="inlineStr"/>
      <c r="J29" s="20" t="inlineStr"/>
      <c r="K29" s="20" t="inlineStr"/>
      <c r="L29" s="20" t="inlineStr"/>
    </row>
    <row r="30" ht="28" customHeight="1">
      <c r="B30" s="13" t="inlineStr">
        <is>
          <t>quality_benefit</t>
        </is>
      </c>
      <c r="C30" s="13" t="inlineStr">
        <is>
          <t>Monetized annual quality benefit</t>
        </is>
      </c>
      <c r="D30" s="22" t="inlineStr"/>
      <c r="E30" s="22" t="inlineStr"/>
      <c r="F30" s="22" t="inlineStr"/>
      <c r="G30" s="13" t="inlineStr">
        <is>
          <t>$ / year</t>
        </is>
      </c>
      <c r="H30" s="20" t="inlineStr"/>
      <c r="I30" s="20" t="inlineStr"/>
      <c r="J30" s="20" t="inlineStr"/>
      <c r="K30" s="20" t="inlineStr"/>
      <c r="L30" s="20" t="inlineStr"/>
    </row>
    <row r="31" ht="28" customHeight="1">
      <c r="B31" s="13" t="inlineStr">
        <is>
          <t>current_risk_probability</t>
        </is>
      </c>
      <c r="C31" s="13" t="inlineStr">
        <is>
          <t>Current loss-event probability</t>
        </is>
      </c>
      <c r="D31" s="21" t="inlineStr"/>
      <c r="E31" s="21" t="inlineStr"/>
      <c r="F31" s="21" t="inlineStr"/>
      <c r="G31" s="13" t="inlineStr">
        <is>
          <t>%</t>
        </is>
      </c>
      <c r="H31" s="20" t="inlineStr"/>
      <c r="I31" s="20" t="inlineStr"/>
      <c r="J31" s="20" t="inlineStr"/>
      <c r="K31" s="20" t="inlineStr"/>
      <c r="L31" s="20" t="inlineStr"/>
    </row>
    <row r="32" ht="28" customHeight="1">
      <c r="B32" s="13" t="inlineStr">
        <is>
          <t>residual_risk_probability</t>
        </is>
      </c>
      <c r="C32" s="13" t="inlineStr">
        <is>
          <t>Residual loss-event probability</t>
        </is>
      </c>
      <c r="D32" s="21" t="inlineStr"/>
      <c r="E32" s="21" t="inlineStr"/>
      <c r="F32" s="21" t="inlineStr"/>
      <c r="G32" s="13" t="inlineStr">
        <is>
          <t>%</t>
        </is>
      </c>
      <c r="H32" s="20" t="inlineStr"/>
      <c r="I32" s="20" t="inlineStr"/>
      <c r="J32" s="20" t="inlineStr"/>
      <c r="K32" s="20" t="inlineStr"/>
      <c r="L32" s="20" t="inlineStr"/>
    </row>
    <row r="33" ht="28" customHeight="1">
      <c r="B33" s="13" t="inlineStr">
        <is>
          <t>risk_loss_impact</t>
        </is>
      </c>
      <c r="C33" s="13" t="inlineStr">
        <is>
          <t>Impact per loss event</t>
        </is>
      </c>
      <c r="D33" s="22" t="inlineStr"/>
      <c r="E33" s="22" t="inlineStr"/>
      <c r="F33" s="22" t="inlineStr"/>
      <c r="G33" s="13" t="inlineStr">
        <is>
          <t>$ / event</t>
        </is>
      </c>
      <c r="H33" s="20" t="inlineStr"/>
      <c r="I33" s="20" t="inlineStr"/>
      <c r="J33" s="20" t="inlineStr"/>
      <c r="K33" s="20" t="inlineStr"/>
      <c r="L33" s="20" t="inlineStr"/>
    </row>
    <row r="34" ht="28" customHeight="1">
      <c r="B34" s="13" t="inlineStr">
        <is>
          <t>implementation_external</t>
        </is>
      </c>
      <c r="C34" s="13" t="inlineStr">
        <is>
          <t>External implementation cost</t>
        </is>
      </c>
      <c r="D34" s="22" t="inlineStr"/>
      <c r="E34" s="22" t="inlineStr"/>
      <c r="F34" s="22" t="inlineStr"/>
      <c r="G34" s="13" t="inlineStr">
        <is>
          <t>$ one-time</t>
        </is>
      </c>
      <c r="H34" s="20" t="inlineStr"/>
      <c r="I34" s="20" t="inlineStr"/>
      <c r="J34" s="20" t="inlineStr"/>
      <c r="K34" s="20" t="inlineStr"/>
      <c r="L34" s="20" t="inlineStr"/>
    </row>
    <row r="35" ht="28" customHeight="1">
      <c r="B35" s="13" t="inlineStr">
        <is>
          <t>implementation_internal</t>
        </is>
      </c>
      <c r="C35" s="13" t="inlineStr">
        <is>
          <t>Internal implementation cost</t>
        </is>
      </c>
      <c r="D35" s="22" t="inlineStr"/>
      <c r="E35" s="22" t="inlineStr"/>
      <c r="F35" s="22" t="inlineStr"/>
      <c r="G35" s="13" t="inlineStr">
        <is>
          <t>$ one-time</t>
        </is>
      </c>
      <c r="H35" s="20" t="inlineStr"/>
      <c r="I35" s="20" t="inlineStr"/>
      <c r="J35" s="20" t="inlineStr"/>
      <c r="K35" s="20" t="inlineStr"/>
      <c r="L35" s="20" t="inlineStr"/>
    </row>
    <row r="36" ht="28" customHeight="1">
      <c r="B36" s="13" t="inlineStr">
        <is>
          <t>annual_platform</t>
        </is>
      </c>
      <c r="C36" s="13" t="inlineStr">
        <is>
          <t>Annual platform/hosting/model cost</t>
        </is>
      </c>
      <c r="D36" s="22" t="inlineStr"/>
      <c r="E36" s="22" t="inlineStr"/>
      <c r="F36" s="22" t="inlineStr"/>
      <c r="G36" s="13" t="inlineStr">
        <is>
          <t>$ / year</t>
        </is>
      </c>
      <c r="H36" s="20" t="inlineStr"/>
      <c r="I36" s="20" t="inlineStr"/>
      <c r="J36" s="20" t="inlineStr"/>
      <c r="K36" s="20" t="inlineStr"/>
      <c r="L36" s="20" t="inlineStr"/>
    </row>
    <row r="37" ht="28" customHeight="1">
      <c r="B37" s="13" t="inlineStr">
        <is>
          <t>annual_maintenance</t>
        </is>
      </c>
      <c r="C37" s="13" t="inlineStr">
        <is>
          <t>Annual monitoring/support cost</t>
        </is>
      </c>
      <c r="D37" s="22" t="inlineStr"/>
      <c r="E37" s="22" t="inlineStr"/>
      <c r="F37" s="22" t="inlineStr"/>
      <c r="G37" s="13" t="inlineStr">
        <is>
          <t>$ / year</t>
        </is>
      </c>
      <c r="H37" s="20" t="inlineStr"/>
      <c r="I37" s="20" t="inlineStr"/>
      <c r="J37" s="20" t="inlineStr"/>
      <c r="K37" s="20" t="inlineStr"/>
      <c r="L37" s="20" t="inlineStr"/>
    </row>
    <row r="38" ht="28" customHeight="1">
      <c r="B38" s="13" t="inlineStr">
        <is>
          <t>annual_oversight</t>
        </is>
      </c>
      <c r="C38" s="13" t="inlineStr">
        <is>
          <t>Annual review/exception cost</t>
        </is>
      </c>
      <c r="D38" s="22" t="inlineStr"/>
      <c r="E38" s="22" t="inlineStr"/>
      <c r="F38" s="22" t="inlineStr"/>
      <c r="G38" s="13" t="inlineStr">
        <is>
          <t>$ / year</t>
        </is>
      </c>
      <c r="H38" s="20" t="inlineStr"/>
      <c r="I38" s="20" t="inlineStr"/>
      <c r="J38" s="20" t="inlineStr"/>
      <c r="K38" s="20" t="inlineStr"/>
      <c r="L38" s="20" t="inlineStr"/>
    </row>
    <row r="39" ht="28" customHeight="1">
      <c r="B39" s="13" t="inlineStr">
        <is>
          <t>discount_rate</t>
        </is>
      </c>
      <c r="C39" s="13" t="inlineStr">
        <is>
          <t>Discount rate</t>
        </is>
      </c>
      <c r="D39" s="21" t="inlineStr"/>
      <c r="E39" s="21" t="inlineStr"/>
      <c r="F39" s="21" t="inlineStr"/>
      <c r="G39" s="13" t="inlineStr">
        <is>
          <t>%</t>
        </is>
      </c>
      <c r="H39" s="20" t="inlineStr"/>
      <c r="I39" s="20" t="inlineStr"/>
      <c r="J39" s="20" t="inlineStr"/>
      <c r="K39" s="20" t="inlineStr"/>
      <c r="L39" s="20" t="inlineStr"/>
    </row>
    <row r="40" ht="28" customHeight="1">
      <c r="B40" s="13" t="inlineStr">
        <is>
          <t>appraisal_years</t>
        </is>
      </c>
      <c r="C40" s="13" t="inlineStr">
        <is>
          <t>Appraisal horizon</t>
        </is>
      </c>
      <c r="D40" s="19" t="inlineStr"/>
      <c r="E40" s="19" t="inlineStr"/>
      <c r="F40" s="19" t="inlineStr"/>
      <c r="G40" s="13" t="inlineStr">
        <is>
          <t>years</t>
        </is>
      </c>
      <c r="H40" s="20" t="inlineStr"/>
      <c r="I40" s="20" t="inlineStr"/>
      <c r="J40" s="20" t="inlineStr"/>
      <c r="K40" s="20" t="inlineStr"/>
      <c r="L40" s="20" t="inlineStr"/>
    </row>
    <row r="41"/>
    <row r="42"/>
    <row r="43" ht="22" customHeight="1">
      <c r="B43" s="4" t="inlineStr">
        <is>
          <t>Role effort per accepted case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/>
    <row r="45">
      <c r="B45" s="15" t="inlineStr">
        <is>
          <t>Role</t>
        </is>
      </c>
      <c r="C45" s="15" t="inlineStr">
        <is>
          <t>Baseline hrs Low</t>
        </is>
      </c>
      <c r="D45" s="15" t="inlineStr">
        <is>
          <t>Baseline hrs Expected</t>
        </is>
      </c>
      <c r="E45" s="15" t="inlineStr">
        <is>
          <t>Baseline hrs High</t>
        </is>
      </c>
      <c r="F45" s="15" t="inlineStr">
        <is>
          <t>Assisted hrs Low</t>
        </is>
      </c>
      <c r="G45" s="15" t="inlineStr">
        <is>
          <t>Assisted hrs Expected</t>
        </is>
      </c>
      <c r="H45" s="15" t="inlineStr">
        <is>
          <t>Assisted hrs High</t>
        </is>
      </c>
      <c r="I45" s="15" t="inlineStr">
        <is>
          <t>Cost/hr Low</t>
        </is>
      </c>
      <c r="J45" s="15" t="inlineStr">
        <is>
          <t>Cost/hr Expected</t>
        </is>
      </c>
      <c r="K45" s="15" t="inlineStr">
        <is>
          <t>Cost/hr High</t>
        </is>
      </c>
      <c r="L45" s="15" t="inlineStr">
        <is>
          <t>Grade</t>
        </is>
      </c>
      <c r="M45" s="15" t="inlineStr">
        <is>
          <t>Source / notes</t>
        </is>
      </c>
    </row>
    <row r="46">
      <c r="B46" s="24" t="n"/>
      <c r="C46" s="25" t="n"/>
      <c r="D46" s="25" t="n"/>
      <c r="E46" s="25" t="n"/>
      <c r="F46" s="25" t="n"/>
      <c r="G46" s="25" t="n"/>
      <c r="H46" s="25" t="n"/>
      <c r="I46" s="26" t="n"/>
      <c r="J46" s="26" t="n"/>
      <c r="K46" s="26" t="n"/>
      <c r="L46" s="24" t="n"/>
      <c r="M46" s="24" t="n"/>
    </row>
    <row r="47">
      <c r="B47" s="24" t="n"/>
      <c r="C47" s="25" t="n"/>
      <c r="D47" s="25" t="n"/>
      <c r="E47" s="25" t="n"/>
      <c r="F47" s="25" t="n"/>
      <c r="G47" s="25" t="n"/>
      <c r="H47" s="25" t="n"/>
      <c r="I47" s="26" t="n"/>
      <c r="J47" s="26" t="n"/>
      <c r="K47" s="26" t="n"/>
      <c r="L47" s="24" t="n"/>
      <c r="M47" s="24" t="n"/>
    </row>
    <row r="48">
      <c r="B48" s="24" t="n"/>
      <c r="C48" s="25" t="n"/>
      <c r="D48" s="25" t="n"/>
      <c r="E48" s="25" t="n"/>
      <c r="F48" s="25" t="n"/>
      <c r="G48" s="25" t="n"/>
      <c r="H48" s="25" t="n"/>
      <c r="I48" s="26" t="n"/>
      <c r="J48" s="26" t="n"/>
      <c r="K48" s="26" t="n"/>
      <c r="L48" s="24" t="n"/>
      <c r="M48" s="24" t="n"/>
    </row>
    <row r="49">
      <c r="B49" s="24" t="n"/>
      <c r="C49" s="25" t="n"/>
      <c r="D49" s="25" t="n"/>
      <c r="E49" s="25" t="n"/>
      <c r="F49" s="25" t="n"/>
      <c r="G49" s="25" t="n"/>
      <c r="H49" s="25" t="n"/>
      <c r="I49" s="26" t="n"/>
      <c r="J49" s="26" t="n"/>
      <c r="K49" s="26" t="n"/>
      <c r="L49" s="24" t="n"/>
      <c r="M49" s="24" t="n"/>
    </row>
    <row r="50">
      <c r="B50" s="24" t="n"/>
      <c r="C50" s="25" t="n"/>
      <c r="D50" s="25" t="n"/>
      <c r="E50" s="25" t="n"/>
      <c r="F50" s="25" t="n"/>
      <c r="G50" s="25" t="n"/>
      <c r="H50" s="25" t="n"/>
      <c r="I50" s="26" t="n"/>
      <c r="J50" s="26" t="n"/>
      <c r="K50" s="26" t="n"/>
      <c r="L50" s="24" t="n"/>
      <c r="M50" s="24" t="n"/>
    </row>
    <row r="51">
      <c r="B51" s="24" t="n"/>
      <c r="C51" s="25" t="n"/>
      <c r="D51" s="25" t="n"/>
      <c r="E51" s="25" t="n"/>
      <c r="F51" s="25" t="n"/>
      <c r="G51" s="25" t="n"/>
      <c r="H51" s="25" t="n"/>
      <c r="I51" s="26" t="n"/>
      <c r="J51" s="26" t="n"/>
      <c r="K51" s="26" t="n"/>
      <c r="L51" s="24" t="n"/>
      <c r="M51" s="24" t="n"/>
    </row>
    <row r="52">
      <c r="B52" s="24" t="n"/>
      <c r="C52" s="25" t="n"/>
      <c r="D52" s="25" t="n"/>
      <c r="E52" s="25" t="n"/>
      <c r="F52" s="25" t="n"/>
      <c r="G52" s="25" t="n"/>
      <c r="H52" s="25" t="n"/>
      <c r="I52" s="26" t="n"/>
      <c r="J52" s="26" t="n"/>
      <c r="K52" s="26" t="n"/>
      <c r="L52" s="24" t="n"/>
      <c r="M52" s="24" t="n"/>
    </row>
    <row r="53">
      <c r="B53" s="24" t="n"/>
      <c r="C53" s="25" t="n"/>
      <c r="D53" s="25" t="n"/>
      <c r="E53" s="25" t="n"/>
      <c r="F53" s="25" t="n"/>
      <c r="G53" s="25" t="n"/>
      <c r="H53" s="25" t="n"/>
      <c r="I53" s="26" t="n"/>
      <c r="J53" s="26" t="n"/>
      <c r="K53" s="26" t="n"/>
      <c r="L53" s="24" t="n"/>
      <c r="M53" s="24" t="n"/>
    </row>
    <row r="54"/>
    <row r="55"/>
    <row r="56" ht="28" customHeight="1">
      <c r="B56" s="27" t="inlineStr">
        <is>
          <t>Evidence grades: A system/ledger/approved finance; B recent sample/timestamp/diary; C reconciled estimates; D unsupported recollection; E automation-team assumption. Grade E is never client evidence.</t>
        </is>
      </c>
    </row>
  </sheetData>
  <mergeCells count="28">
    <mergeCell ref="B2:M2"/>
    <mergeCell ref="G14:M14"/>
    <mergeCell ref="C8:F8"/>
    <mergeCell ref="C7:F7"/>
    <mergeCell ref="G16:M16"/>
    <mergeCell ref="C13:F13"/>
    <mergeCell ref="G9:M9"/>
    <mergeCell ref="B19:M19"/>
    <mergeCell ref="C6:F6"/>
    <mergeCell ref="G12:M12"/>
    <mergeCell ref="C15:F15"/>
    <mergeCell ref="G11:M11"/>
    <mergeCell ref="C14:F14"/>
    <mergeCell ref="G8:M8"/>
    <mergeCell ref="G7:M7"/>
    <mergeCell ref="C16:F16"/>
    <mergeCell ref="C10:F10"/>
    <mergeCell ref="B4:M4"/>
    <mergeCell ref="G10:M10"/>
    <mergeCell ref="C9:F9"/>
    <mergeCell ref="G6:M6"/>
    <mergeCell ref="G13:M13"/>
    <mergeCell ref="B3:M3"/>
    <mergeCell ref="C12:F12"/>
    <mergeCell ref="C11:F11"/>
    <mergeCell ref="B56:M56"/>
    <mergeCell ref="G15:M15"/>
    <mergeCell ref="B43:M43"/>
  </mergeCells>
  <dataValidations count="4">
    <dataValidation sqref="H22:H40" showDropDown="0" showInputMessage="0" showErrorMessage="0" allowBlank="1" type="list">
      <formula1>"A,B,C,D,E,Unknown"</formula1>
    </dataValidation>
    <dataValidation sqref="I22:I40" showDropDown="0" showInputMessage="0" showErrorMessage="0" allowBlank="1" type="list">
      <formula1>"Adviser,Operations,Compliance,Finance,System,External"</formula1>
    </dataValidation>
    <dataValidation sqref="J22:J40" showDropDown="0" showInputMessage="0" showErrorMessage="0" allowBlank="1" type="list">
      <formula1>"Documented,Direct experience,Management report,Estimate,External assumption,Model inference,Unknown"</formula1>
    </dataValidation>
    <dataValidation sqref="L46:L53" showDropDown="0" showInputMessage="0" showErrorMessage="0" allowBlank="1" type="list">
      <formula1>"A,B,C,D,E,Unknown"</formula1>
    </dataValidation>
  </dataValidations>
  <pageMargins left="0.75" right="0.75" top="1" bottom="1" header="0.5" footer="0.5"/>
  <headerFooter>
    <oddHeader/>
    <oddFooter>&amp;CGenerated 2026-09-22 | Preliminary screening tool — human review required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9" customWidth="1" min="2" max="2"/>
    <col width="17" customWidth="1" min="3" max="3"/>
    <col width="17" customWidth="1" min="4" max="4"/>
    <col width="17" customWidth="1" min="5" max="5"/>
    <col width="45" customWidth="1" min="6" max="6"/>
  </cols>
  <sheetData>
    <row r="1"/>
    <row r="2" ht="30" customHeight="1">
      <c r="B2" s="1" t="inlineStr">
        <is>
          <t>Preliminary ROI Model</t>
        </is>
      </c>
      <c r="C2" s="2" t="n"/>
      <c r="D2" s="2" t="n"/>
      <c r="E2" s="2" t="n"/>
      <c r="F2" s="2" t="n"/>
    </row>
    <row r="3" ht="28" customHeight="1">
      <c r="B3" s="3" t="inlineStr">
        <is>
          <t>Dynamic low / expected / high screening model; financial ROI excludes released-capacity equivalents unless independently evidenced.</t>
        </is>
      </c>
      <c r="C3" s="2" t="n"/>
      <c r="D3" s="2" t="n"/>
      <c r="E3" s="2" t="n"/>
      <c r="F3" s="2" t="n"/>
    </row>
    <row r="4"/>
    <row r="5">
      <c r="B5" s="7" t="inlineStr">
        <is>
          <t>Metric</t>
        </is>
      </c>
      <c r="C5" s="7" t="inlineStr">
        <is>
          <t>Low</t>
        </is>
      </c>
      <c r="D5" s="7" t="inlineStr">
        <is>
          <t>Expected</t>
        </is>
      </c>
      <c r="E5" s="7" t="inlineStr">
        <is>
          <t>High</t>
        </is>
      </c>
      <c r="F5" s="7" t="inlineStr">
        <is>
          <t>Interpretation</t>
        </is>
      </c>
    </row>
    <row r="6"/>
    <row r="7" ht="26" customHeight="1">
      <c r="B7" s="28" t="inlineStr">
        <is>
          <t>Annual total cases</t>
        </is>
      </c>
      <c r="C7" s="29">
        <f>IF('Evidence Inputs'!D22="","",'Evidence Inputs'!D22*12)</f>
        <v/>
      </c>
      <c r="D7" s="29">
        <f>IF('Evidence Inputs'!E22="","",'Evidence Inputs'!E22*12)</f>
        <v/>
      </c>
      <c r="E7" s="29">
        <f>IF('Evidence Inputs'!F22="","",'Evidence Inputs'!F22*12)</f>
        <v/>
      </c>
      <c r="F7" s="27" t="inlineStr">
        <is>
          <t>Monthly volume × 12</t>
        </is>
      </c>
    </row>
    <row r="8" ht="26" customHeight="1">
      <c r="B8" s="28" t="inlineStr">
        <is>
          <t>Eligible cases</t>
        </is>
      </c>
      <c r="C8" s="29">
        <f>IF(OR(C7="",'Evidence Inputs'!D23=""),"",C7*'Evidence Inputs'!D23)</f>
        <v/>
      </c>
      <c r="D8" s="29">
        <f>IF(OR(D7="",'Evidence Inputs'!E23=""),"",D7*'Evidence Inputs'!E23)</f>
        <v/>
      </c>
      <c r="E8" s="29">
        <f>IF(OR(E7="",'Evidence Inputs'!F23=""),"",E7*'Evidence Inputs'!F23)</f>
        <v/>
      </c>
      <c r="F8" s="27" t="inlineStr">
        <is>
          <t>Annual cases × eligible share</t>
        </is>
      </c>
    </row>
    <row r="9" ht="26" customHeight="1">
      <c r="B9" s="28" t="inlineStr">
        <is>
          <t>Adopted cases</t>
        </is>
      </c>
      <c r="C9" s="29">
        <f>IF(OR(C8="",'Evidence Inputs'!D24=""),"",C8*'Evidence Inputs'!D24)</f>
        <v/>
      </c>
      <c r="D9" s="29">
        <f>IF(OR(D8="",'Evidence Inputs'!E24=""),"",D8*'Evidence Inputs'!E24)</f>
        <v/>
      </c>
      <c r="E9" s="29">
        <f>IF(OR(E8="",'Evidence Inputs'!F24=""),"",E8*'Evidence Inputs'!F24)</f>
        <v/>
      </c>
      <c r="F9" s="27" t="inlineStr">
        <is>
          <t>Eligible × adoption</t>
        </is>
      </c>
    </row>
    <row r="10"/>
    <row r="11" ht="26" customHeight="1">
      <c r="B11" s="28" t="inlineStr">
        <is>
          <t>Baseline active hours / case</t>
        </is>
      </c>
      <c r="C11" s="30">
        <f>IF(COUNTA('Evidence Inputs'!$C$46:$C$53)=0,"",SUM('Evidence Inputs'!$C$46:$C$53))</f>
        <v/>
      </c>
      <c r="D11" s="30">
        <f>IF(COUNTA('Evidence Inputs'!$D$46:$D$53)=0,"",SUM('Evidence Inputs'!$D$46:$D$53))</f>
        <v/>
      </c>
      <c r="E11" s="30">
        <f>IF(COUNTA('Evidence Inputs'!$E$46:$E$53)=0,"",SUM('Evidence Inputs'!$E$46:$E$53))</f>
        <v/>
      </c>
      <c r="F11" s="27" t="inlineStr">
        <is>
          <t>Sum by role</t>
        </is>
      </c>
    </row>
    <row r="12" ht="26" customHeight="1">
      <c r="B12" s="28" t="inlineStr">
        <is>
          <t>Assisted active hours / case</t>
        </is>
      </c>
      <c r="C12" s="30">
        <f>IF(COUNTA('Evidence Inputs'!$F$46:$F$53)=0,"",SUM('Evidence Inputs'!$F$46:$F$53))</f>
        <v/>
      </c>
      <c r="D12" s="30">
        <f>IF(COUNTA('Evidence Inputs'!$G$46:$G$53)=0,"",SUM('Evidence Inputs'!$G$46:$G$53))</f>
        <v/>
      </c>
      <c r="E12" s="30">
        <f>IF(COUNTA('Evidence Inputs'!$H$46:$H$53)=0,"",SUM('Evidence Inputs'!$H$46:$H$53))</f>
        <v/>
      </c>
      <c r="F12" s="27" t="inlineStr">
        <is>
          <t>Pilot hypothesis/measurement including review</t>
        </is>
      </c>
    </row>
    <row r="13" ht="26" customHeight="1">
      <c r="B13" s="28" t="inlineStr">
        <is>
          <t>Net released hours / case</t>
        </is>
      </c>
      <c r="C13" s="30">
        <f>IF(OR(C11="",C12=""),"",MAX(0,C11-C12))</f>
        <v/>
      </c>
      <c r="D13" s="30">
        <f>IF(OR(D11="",D12=""),"",MAX(0,D11-D12))</f>
        <v/>
      </c>
      <c r="E13" s="30">
        <f>IF(OR(E11="",E12=""),"",MAX(0,E11-E12))</f>
        <v/>
      </c>
      <c r="F13" s="27" t="inlineStr">
        <is>
          <t>Never below zero</t>
        </is>
      </c>
    </row>
    <row r="14" ht="26" customHeight="1">
      <c r="B14" s="31" t="inlineStr">
        <is>
          <t>Annual released capacity hours</t>
        </is>
      </c>
      <c r="C14" s="10">
        <f>IF(OR(C9="",C13=""),"",C9*C13)</f>
        <v/>
      </c>
      <c r="D14" s="10">
        <f>IF(OR(D9="",D13=""),"",D9*D13)</f>
        <v/>
      </c>
      <c r="E14" s="10">
        <f>IF(OR(E9="",E13=""),"",E9*E13)</f>
        <v/>
      </c>
      <c r="F14" s="27" t="inlineStr">
        <is>
          <t>Capacity, not cash</t>
        </is>
      </c>
    </row>
    <row r="15" ht="26" customHeight="1">
      <c r="B15" s="28" t="inlineStr">
        <is>
          <t>Baseline labour cost / case</t>
        </is>
      </c>
      <c r="C15" s="32">
        <f>IF(COUNTA('Evidence Inputs'!$C$46:$C$53)=0,"",SUMPRODUCT('Evidence Inputs'!$C$46:$C$53,'Evidence Inputs'!$I$46:$I$53))</f>
        <v/>
      </c>
      <c r="D15" s="32">
        <f>IF(COUNTA('Evidence Inputs'!$D$46:$D$53)=0,"",SUMPRODUCT('Evidence Inputs'!$D$46:$D$53,'Evidence Inputs'!$J$46:$J$53))</f>
        <v/>
      </c>
      <c r="E15" s="32">
        <f>IF(COUNTA('Evidence Inputs'!$E$46:$E$53)=0,"",SUMPRODUCT('Evidence Inputs'!$E$46:$E$53,'Evidence Inputs'!$K$46:$K$53))</f>
        <v/>
      </c>
      <c r="F15" s="27" t="inlineStr">
        <is>
          <t>Loaded-cost equivalent</t>
        </is>
      </c>
    </row>
    <row r="16" ht="26" customHeight="1">
      <c r="B16" s="28" t="inlineStr">
        <is>
          <t>Assisted labour cost / case</t>
        </is>
      </c>
      <c r="C16" s="32">
        <f>IF(COUNTA('Evidence Inputs'!$F$46:$F$53)=0,"",SUMPRODUCT('Evidence Inputs'!$F$46:$F$53,'Evidence Inputs'!$I$46:$I$53))</f>
        <v/>
      </c>
      <c r="D16" s="32">
        <f>IF(COUNTA('Evidence Inputs'!$G$46:$G$53)=0,"",SUMPRODUCT('Evidence Inputs'!$G$46:$G$53,'Evidence Inputs'!$J$46:$J$53))</f>
        <v/>
      </c>
      <c r="E16" s="32">
        <f>IF(COUNTA('Evidence Inputs'!$H$46:$H$53)=0,"",SUMPRODUCT('Evidence Inputs'!$H$46:$H$53,'Evidence Inputs'!$K$46:$K$53))</f>
        <v/>
      </c>
      <c r="F16" s="27" t="inlineStr">
        <is>
          <t>Loaded-cost equivalent</t>
        </is>
      </c>
    </row>
    <row r="17" ht="26" customHeight="1">
      <c r="B17" s="28" t="inlineStr">
        <is>
          <t>Gross labour capacity equivalent</t>
        </is>
      </c>
      <c r="C17" s="32">
        <f>IF(OR(C9="",C15="",C16=""),"",C9*MAX(0,C15-C16))</f>
        <v/>
      </c>
      <c r="D17" s="32">
        <f>IF(OR(D9="",D15="",D16=""),"",D9*MAX(0,D15-D16))</f>
        <v/>
      </c>
      <c r="E17" s="32">
        <f>IF(OR(E9="",E15="",E16=""),"",E9*MAX(0,E15-E16))</f>
        <v/>
      </c>
      <c r="F17" s="27" t="inlineStr">
        <is>
          <t>Not financial ROI</t>
        </is>
      </c>
    </row>
    <row r="18" ht="26" customHeight="1">
      <c r="B18" s="31" t="inlineStr">
        <is>
          <t>Realizable capacity equivalent</t>
        </is>
      </c>
      <c r="C18" s="11">
        <f>IF(OR(C17="",'Evidence Inputs'!D25=""),"",C17*'Evidence Inputs'!D25)</f>
        <v/>
      </c>
      <c r="D18" s="11">
        <f>IF(OR(D17="",'Evidence Inputs'!E25=""),"",D17*'Evidence Inputs'!E25)</f>
        <v/>
      </c>
      <c r="E18" s="11">
        <f>IF(OR(E17="",'Evidence Inputs'!F25=""),"",E17*'Evidence Inputs'!F25)</f>
        <v/>
      </c>
      <c r="F18" s="27" t="inlineStr">
        <is>
          <t>Informational until economic consequence evidenced</t>
        </is>
      </c>
    </row>
    <row r="19"/>
    <row r="20" ht="26" customHeight="1">
      <c r="B20" s="28" t="inlineStr">
        <is>
          <t>Confirmed cash saving</t>
        </is>
      </c>
      <c r="C20" s="32">
        <f>IF('Evidence Inputs'!D26="","",'Evidence Inputs'!D26)</f>
        <v/>
      </c>
      <c r="D20" s="32">
        <f>IF('Evidence Inputs'!E26="","",'Evidence Inputs'!E26)</f>
        <v/>
      </c>
      <c r="E20" s="32">
        <f>IF('Evidence Inputs'!F26="","",'Evidence Inputs'!F26)</f>
        <v/>
      </c>
      <c r="F20" s="27" t="inlineStr">
        <is>
          <t>Finance-owned</t>
        </is>
      </c>
    </row>
    <row r="21" ht="26" customHeight="1">
      <c r="B21" s="28" t="inlineStr">
        <is>
          <t>Evidenced cost avoidance</t>
        </is>
      </c>
      <c r="C21" s="32">
        <f>IF('Evidence Inputs'!D27="","",'Evidence Inputs'!D27)</f>
        <v/>
      </c>
      <c r="D21" s="32">
        <f>IF('Evidence Inputs'!E27="","",'Evidence Inputs'!E27)</f>
        <v/>
      </c>
      <c r="E21" s="32">
        <f>IF('Evidence Inputs'!F27="","",'Evidence Inputs'!F27)</f>
        <v/>
      </c>
      <c r="F21" s="27" t="inlineStr">
        <is>
          <t>Finance-owned</t>
        </is>
      </c>
    </row>
    <row r="22" ht="26" customHeight="1">
      <c r="B22" s="28" t="inlineStr">
        <is>
          <t>Incremental contribution margin</t>
        </is>
      </c>
      <c r="C22" s="32">
        <f>IF(OR('Evidence Inputs'!D28="",'Evidence Inputs'!D29=""),"",'Evidence Inputs'!D28*12*'Evidence Inputs'!D29)</f>
        <v/>
      </c>
      <c r="D22" s="32">
        <f>IF(OR('Evidence Inputs'!E28="",'Evidence Inputs'!E29=""),"",'Evidence Inputs'!E28*12*'Evidence Inputs'!E29)</f>
        <v/>
      </c>
      <c r="E22" s="32">
        <f>IF(OR('Evidence Inputs'!F28="",'Evidence Inputs'!F29=""),"",'Evidence Inputs'!F28*12*'Evidence Inputs'!F29)</f>
        <v/>
      </c>
      <c r="F22" s="27" t="inlineStr">
        <is>
          <t>Not revenue</t>
        </is>
      </c>
    </row>
    <row r="23" ht="26" customHeight="1">
      <c r="B23" s="28" t="inlineStr">
        <is>
          <t>Monetized quality benefit</t>
        </is>
      </c>
      <c r="C23" s="32">
        <f>IF('Evidence Inputs'!D30="","",'Evidence Inputs'!D30)</f>
        <v/>
      </c>
      <c r="D23" s="32">
        <f>IF('Evidence Inputs'!E30="","",'Evidence Inputs'!E30)</f>
        <v/>
      </c>
      <c r="E23" s="32">
        <f>IF('Evidence Inputs'!F30="","",'Evidence Inputs'!F30)</f>
        <v/>
      </c>
      <c r="F23" s="27" t="inlineStr">
        <is>
          <t>Only defensible linkage</t>
        </is>
      </c>
    </row>
    <row r="24" ht="26" customHeight="1">
      <c r="B24" s="28" t="inlineStr">
        <is>
          <t>Expected risk reduction</t>
        </is>
      </c>
      <c r="C24" s="32">
        <f>IF(OR('Evidence Inputs'!D31="",'Evidence Inputs'!D32="",'Evidence Inputs'!D33=""),"",MAX(0,'Evidence Inputs'!D31-'Evidence Inputs'!D32)*'Evidence Inputs'!D33)</f>
        <v/>
      </c>
      <c r="D24" s="32">
        <f>IF(OR('Evidence Inputs'!E31="",'Evidence Inputs'!E32="",'Evidence Inputs'!E33=""),"",MAX(0,'Evidence Inputs'!E31-'Evidence Inputs'!E32)*'Evidence Inputs'!E33)</f>
        <v/>
      </c>
      <c r="E24" s="32">
        <f>IF(OR('Evidence Inputs'!F31="",'Evidence Inputs'!F32="",'Evidence Inputs'!F33=""),"",MAX(0,'Evidence Inputs'!F31-'Evidence Inputs'!F32)*'Evidence Inputs'!F33)</f>
        <v/>
      </c>
      <c r="F24" s="27" t="inlineStr">
        <is>
          <t>Probability change × impact</t>
        </is>
      </c>
    </row>
    <row r="25" ht="26" customHeight="1">
      <c r="B25" s="31" t="inlineStr">
        <is>
          <t>Annual financial benefit</t>
        </is>
      </c>
      <c r="C25" s="11">
        <f>IF(COUNT(C20:C24)=0,"",SUM(C20:C24))</f>
        <v/>
      </c>
      <c r="D25" s="11">
        <f>IF(COUNT(D20:D24)=0,"",SUM(D20:D24))</f>
        <v/>
      </c>
      <c r="E25" s="11">
        <f>IF(COUNT(E20:E24)=0,"",SUM(E20:E24))</f>
        <v/>
      </c>
      <c r="F25" s="27" t="inlineStr">
        <is>
          <t>Sum of evidenced benefits</t>
        </is>
      </c>
    </row>
    <row r="26"/>
    <row r="27" ht="26" customHeight="1">
      <c r="B27" s="28" t="inlineStr">
        <is>
          <t>One-time implementation cost</t>
        </is>
      </c>
      <c r="C27" s="32">
        <f>IF(COUNT('Evidence Inputs'!D34,'Evidence Inputs'!D35)=0,"",SUM('Evidence Inputs'!D34,'Evidence Inputs'!D35))</f>
        <v/>
      </c>
      <c r="D27" s="32">
        <f>IF(COUNT('Evidence Inputs'!E34,'Evidence Inputs'!E35)=0,"",SUM('Evidence Inputs'!E34,'Evidence Inputs'!E35))</f>
        <v/>
      </c>
      <c r="E27" s="32">
        <f>IF(COUNT('Evidence Inputs'!F34,'Evidence Inputs'!F35)=0,"",SUM('Evidence Inputs'!F34,'Evidence Inputs'!F35))</f>
        <v/>
      </c>
      <c r="F27" s="27" t="inlineStr">
        <is>
          <t>External + internal</t>
        </is>
      </c>
    </row>
    <row r="28" ht="26" customHeight="1">
      <c r="B28" s="28" t="inlineStr">
        <is>
          <t>Annual recurring full cost</t>
        </is>
      </c>
      <c r="C28" s="32">
        <f>IF(COUNT('Evidence Inputs'!D36,'Evidence Inputs'!D37,'Evidence Inputs'!D38)=0,"",SUM('Evidence Inputs'!D36,'Evidence Inputs'!D37,'Evidence Inputs'!D38))</f>
        <v/>
      </c>
      <c r="D28" s="32">
        <f>IF(COUNT('Evidence Inputs'!E36,'Evidence Inputs'!E37,'Evidence Inputs'!E38)=0,"",SUM('Evidence Inputs'!E36,'Evidence Inputs'!E37,'Evidence Inputs'!E38))</f>
        <v/>
      </c>
      <c r="E28" s="32">
        <f>IF(COUNT('Evidence Inputs'!F36,'Evidence Inputs'!F37,'Evidence Inputs'!F38)=0,"",SUM('Evidence Inputs'!F36,'Evidence Inputs'!F37,'Evidence Inputs'!F38))</f>
        <v/>
      </c>
      <c r="F28" s="27" t="inlineStr">
        <is>
          <t>Platform + maintenance + oversight</t>
        </is>
      </c>
    </row>
    <row r="29" ht="26" customHeight="1">
      <c r="B29" s="31" t="inlineStr">
        <is>
          <t>Year-1 full cost</t>
        </is>
      </c>
      <c r="C29" s="11">
        <f>IF(OR(C27="",C28=""),"",C27+C28)</f>
        <v/>
      </c>
      <c r="D29" s="11">
        <f>IF(OR(D27="",D28=""),"",D27+D28)</f>
        <v/>
      </c>
      <c r="E29" s="11">
        <f>IF(OR(E27="",E28=""),"",E27+E28)</f>
        <v/>
      </c>
      <c r="F29" s="27" t="inlineStr">
        <is>
          <t>One-time + recurring</t>
        </is>
      </c>
    </row>
    <row r="30" ht="26" customHeight="1">
      <c r="B30" s="28" t="inlineStr">
        <is>
          <t>Year-1 net benefit</t>
        </is>
      </c>
      <c r="C30" s="32">
        <f>IF(OR(C25="",C29=""),"",C25-C29)</f>
        <v/>
      </c>
      <c r="D30" s="32">
        <f>IF(OR(D25="",D29=""),"",D25-D29)</f>
        <v/>
      </c>
      <c r="E30" s="32">
        <f>IF(OR(E25="",E29=""),"",E25-E29)</f>
        <v/>
      </c>
      <c r="F30" s="27" t="inlineStr">
        <is>
          <t>Benefit − cost</t>
        </is>
      </c>
    </row>
    <row r="31" ht="26" customHeight="1">
      <c r="B31" s="31" t="inlineStr">
        <is>
          <t>Year-1 ROI</t>
        </is>
      </c>
      <c r="C31" s="12">
        <f>IF(OR(C29="",C29=0,C25=""),"",(C25-C29)/C29)</f>
        <v/>
      </c>
      <c r="D31" s="12">
        <f>IF(OR(D29="",D29=0,D25=""),"",(D25-D29)/D29)</f>
        <v/>
      </c>
      <c r="E31" s="12">
        <f>IF(OR(E29="",E29=0,E25=""),"",(E25-E29)/E29)</f>
        <v/>
      </c>
      <c r="F31" s="27" t="inlineStr">
        <is>
          <t>Net benefit / cost</t>
        </is>
      </c>
    </row>
    <row r="32" ht="26" customHeight="1">
      <c r="B32" s="28" t="inlineStr">
        <is>
          <t>Recurring annual net benefit</t>
        </is>
      </c>
      <c r="C32" s="32">
        <f>IF(OR(C25="",C28=""),"",C25-C28)</f>
        <v/>
      </c>
      <c r="D32" s="32">
        <f>IF(OR(D25="",D28=""),"",D25-D28)</f>
        <v/>
      </c>
      <c r="E32" s="32">
        <f>IF(OR(E25="",E28=""),"",E25-E28)</f>
        <v/>
      </c>
      <c r="F32" s="27" t="inlineStr">
        <is>
          <t>Benefit − recurring cost</t>
        </is>
      </c>
    </row>
    <row r="33" ht="26" customHeight="1">
      <c r="B33" s="28" t="inlineStr">
        <is>
          <t>Payback period (months)</t>
        </is>
      </c>
      <c r="C33" s="30">
        <f>IF(OR(C27="",C32&lt;=0),"",C27/C32*12)</f>
        <v/>
      </c>
      <c r="D33" s="30">
        <f>IF(OR(D27="",D32&lt;=0),"",D27/D32*12)</f>
        <v/>
      </c>
      <c r="E33" s="30">
        <f>IF(OR(E27="",E32&lt;=0),"",E27/E32*12)</f>
        <v/>
      </c>
      <c r="F33" s="27" t="inlineStr">
        <is>
          <t>One-time / recurring net benefit</t>
        </is>
      </c>
    </row>
    <row r="34" ht="26" customHeight="1">
      <c r="B34" s="28" t="inlineStr">
        <is>
          <t>Three-year full cost</t>
        </is>
      </c>
      <c r="C34" s="32">
        <f>IF(OR(C27="",C28=""),"",C27+3*C28)</f>
        <v/>
      </c>
      <c r="D34" s="32">
        <f>IF(OR(D27="",D28=""),"",D27+3*D28)</f>
        <v/>
      </c>
      <c r="E34" s="32">
        <f>IF(OR(E27="",E28=""),"",E27+3*E28)</f>
        <v/>
      </c>
      <c r="F34" s="27" t="inlineStr">
        <is>
          <t>One-time + 3× recurring</t>
        </is>
      </c>
    </row>
    <row r="35" ht="26" customHeight="1">
      <c r="B35" s="31" t="inlineStr">
        <is>
          <t>Three-year ROI</t>
        </is>
      </c>
      <c r="C35" s="12">
        <f>IF(OR(C34="",C34=0,C25=""),"",(3*C25-C34)/C34)</f>
        <v/>
      </c>
      <c r="D35" s="12">
        <f>IF(OR(D34="",D34=0,D25=""),"",(3*D25-D34)/D34)</f>
        <v/>
      </c>
      <c r="E35" s="12">
        <f>IF(OR(E34="",E34=0,E25=""),"",(3*E25-E34)/E34)</f>
        <v/>
      </c>
      <c r="F35" s="27" t="inlineStr">
        <is>
          <t>3-year benefit vs cost</t>
        </is>
      </c>
    </row>
    <row r="36" ht="26" customHeight="1">
      <c r="B36" s="28" t="inlineStr">
        <is>
          <t>Maximum affordable Year-1 cost</t>
        </is>
      </c>
      <c r="C36" s="32">
        <f>IF(C25="","",C25)</f>
        <v/>
      </c>
      <c r="D36" s="32">
        <f>IF(D25="","",D25)</f>
        <v/>
      </c>
      <c r="E36" s="32">
        <f>IF(E25="","",E25)</f>
        <v/>
      </c>
      <c r="F36" s="27" t="inlineStr">
        <is>
          <t>Benefit at break-even</t>
        </is>
      </c>
    </row>
    <row r="37"/>
    <row r="38" ht="26" customHeight="1">
      <c r="B38" s="28" t="inlineStr">
        <is>
          <t>Extra paid cases/month for break-even</t>
        </is>
      </c>
      <c r="C38" s="30">
        <f>IF(OR('Evidence Inputs'!D29="",'Evidence Inputs'!D29=0,C29=""),"",MAX(0,C29-SUM(C20,C21,C23,C24))/'Evidence Inputs'!D29/12)</f>
        <v/>
      </c>
      <c r="D38" s="30">
        <f>IF(OR('Evidence Inputs'!E29="",'Evidence Inputs'!E29=0,D29=""),"",MAX(0,D29-SUM(D20,D21,D23,D24))/'Evidence Inputs'!E29/12)</f>
        <v/>
      </c>
      <c r="E38" s="30">
        <f>IF(OR('Evidence Inputs'!F29="",'Evidence Inputs'!F29=0,E29=""),"",MAX(0,E29-SUM(E20,E21,E23,E24))/'Evidence Inputs'!F29/12)</f>
        <v/>
      </c>
      <c r="F38" s="27" t="inlineStr">
        <is>
          <t>Residual cost / margin / 12</t>
        </is>
      </c>
    </row>
    <row r="39"/>
    <row r="40" ht="26" customHeight="1">
      <c r="B40" s="31" t="inlineStr">
        <is>
          <t>Screening status</t>
        </is>
      </c>
      <c r="C40" s="9">
        <f>IF(OR(C7="",C11="",C12="",C29=""),"Incomplete — validate baseline and cost",IF(C25="","Operational case only",IF(C31&gt;0,"Positive preliminary case — pilot required","Not yet positive — measure/redesign")))</f>
        <v/>
      </c>
      <c r="D40" s="9">
        <f>IF(OR(D7="",D11="",D12="",D29=""),"Incomplete — validate baseline and cost",IF(D25="","Operational case only",IF(D31&gt;0,"Positive preliminary case — pilot required","Not yet positive — measure/redesign")))</f>
        <v/>
      </c>
      <c r="E40" s="9">
        <f>IF(OR(E7="",E11="",E12="",E29=""),"Incomplete — validate baseline and cost",IF(E25="","Operational case only",IF(E31&gt;0,"Positive preliminary case — pilot required","Not yet positive — measure/redesign")))</f>
        <v/>
      </c>
      <c r="F40" s="27" t="inlineStr">
        <is>
          <t>Preliminary; human review required</t>
        </is>
      </c>
    </row>
    <row r="41"/>
    <row r="42"/>
    <row r="43" ht="30" customHeight="1">
      <c r="B43" s="27" t="inlineStr">
        <is>
          <t>Screening only: replace interview assumptions with matched pilot evidence for active time, review, correction, exceptions, adoption, fallback, quality, economic consequence and full cost.</t>
        </is>
      </c>
    </row>
  </sheetData>
  <mergeCells count="3">
    <mergeCell ref="B2:F2"/>
    <mergeCell ref="B43:F43"/>
    <mergeCell ref="B3:F3"/>
  </mergeCells>
  <conditionalFormatting sqref="C31:E3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headerFooter>
    <oddHeader/>
    <oddFooter>&amp;CGenerated 2026-09-22 | Preliminary screening tool — human review required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9" customWidth="1" min="2" max="2"/>
    <col width="11" customWidth="1" min="3" max="3"/>
    <col width="14" customWidth="1" min="4" max="4"/>
    <col width="15" customWidth="1" min="5" max="5"/>
    <col width="40" customWidth="1" min="6" max="6"/>
    <col width="40" customWidth="1" min="7" max="7"/>
    <col width="24" customWidth="1" min="8" max="8"/>
    <col width="23" customWidth="1" min="9" max="9"/>
    <col width="23" customWidth="1" min="10" max="10"/>
    <col width="22" customWidth="1" min="11" max="11"/>
  </cols>
  <sheetData>
    <row r="1"/>
    <row r="2" ht="30" customHeight="1">
      <c r="B2" s="1" t="inlineStr">
        <is>
          <t>Controls, Scorecard and Data Map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8" customHeight="1">
      <c r="B3" s="3" t="inlineStr">
        <is>
          <t>A weighted score prioritizes; hard gates decide whether the work can proceed.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/>
    <row r="5" ht="22" customHeight="1">
      <c r="B5" s="4" t="inlineStr">
        <is>
          <t>Candidate scorecard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/>
    <row r="7">
      <c r="B7" s="15" t="inlineStr">
        <is>
          <t>Criterion</t>
        </is>
      </c>
      <c r="C7" s="15" t="inlineStr">
        <is>
          <t>Weight</t>
        </is>
      </c>
      <c r="D7" s="15" t="inlineStr">
        <is>
          <t>Score 1–5</t>
        </is>
      </c>
      <c r="E7" s="15" t="inlineStr">
        <is>
          <t>Weighted points</t>
        </is>
      </c>
      <c r="F7" s="15" t="inlineStr">
        <is>
          <t>Evidence</t>
        </is>
      </c>
      <c r="G7" s="15" t="inlineStr">
        <is>
          <t>Blocking rule</t>
        </is>
      </c>
    </row>
    <row r="8" ht="28" customHeight="1">
      <c r="B8" s="7" t="inlineStr">
        <is>
          <t>Material value</t>
        </is>
      </c>
      <c r="C8" s="33" t="n">
        <v>0.2</v>
      </c>
      <c r="D8" s="34" t="n"/>
      <c r="E8" s="35">
        <f>IF(D8="","",D8/5*C8*100)</f>
        <v/>
      </c>
      <c r="F8" s="17" t="n"/>
      <c r="G8" s="7" t="inlineStr">
        <is>
          <t>No outcome means no recommendation</t>
        </is>
      </c>
    </row>
    <row r="9" ht="28" customHeight="1">
      <c r="B9" s="7" t="inlineStr">
        <is>
          <t>Frequency / volume</t>
        </is>
      </c>
      <c r="C9" s="33" t="n">
        <v>0.1</v>
      </c>
      <c r="D9" s="34" t="n"/>
      <c r="E9" s="35">
        <f>IF(D9="","",D9/5*C9*100)</f>
        <v/>
      </c>
      <c r="F9" s="17" t="n"/>
      <c r="G9" s="7" t="inlineStr">
        <is>
          <t>Low volume needs high unit value</t>
        </is>
      </c>
    </row>
    <row r="10" ht="28" customHeight="1">
      <c r="B10" s="7" t="inlineStr">
        <is>
          <t>Standardization</t>
        </is>
      </c>
      <c r="C10" s="33" t="n">
        <v>0.1</v>
      </c>
      <c r="D10" s="34" t="n"/>
      <c r="E10" s="35">
        <f>IF(D10="","",D10/5*C10*100)</f>
        <v/>
      </c>
      <c r="F10" s="17" t="n"/>
      <c r="G10" s="7" t="inlineStr">
        <is>
          <t>Unstable output favors measurement</t>
        </is>
      </c>
    </row>
    <row r="11" ht="28" customHeight="1">
      <c r="B11" s="7" t="inlineStr">
        <is>
          <t>Data readiness</t>
        </is>
      </c>
      <c r="C11" s="33" t="n">
        <v>0.15</v>
      </c>
      <c r="D11" s="34" t="n"/>
      <c r="E11" s="35">
        <f>IF(D11="","",D11/5*C11*100)</f>
        <v/>
      </c>
      <c r="F11" s="17" t="n"/>
      <c r="G11" s="7" t="inlineStr">
        <is>
          <t>Unclear permission blocks live data</t>
        </is>
      </c>
    </row>
    <row r="12" ht="28" customHeight="1">
      <c r="B12" s="7" t="inlineStr">
        <is>
          <t>Reviewability</t>
        </is>
      </c>
      <c r="C12" s="33" t="n">
        <v>0.1</v>
      </c>
      <c r="D12" s="34" t="n"/>
      <c r="E12" s="35">
        <f>IF(D12="","",D12/5*C12*100)</f>
        <v/>
      </c>
      <c r="F12" s="17" t="n"/>
      <c r="G12" s="7" t="inlineStr">
        <is>
          <t>No verifier blocks high impact</t>
        </is>
      </c>
    </row>
    <row r="13" ht="28" customHeight="1">
      <c r="B13" s="7" t="inlineStr">
        <is>
          <t>Technical feasibility</t>
        </is>
      </c>
      <c r="C13" s="33" t="n">
        <v>0.1</v>
      </c>
      <c r="D13" s="34" t="n"/>
      <c r="E13" s="35">
        <f>IF(D13="","",D13/5*C13*100)</f>
        <v/>
      </c>
      <c r="F13" s="17" t="n"/>
      <c r="G13" s="7" t="inlineStr">
        <is>
          <t>Unknown integration remains discovery</t>
        </is>
      </c>
    </row>
    <row r="14" ht="28" customHeight="1">
      <c r="B14" s="7" t="inlineStr">
        <is>
          <t>Adoption</t>
        </is>
      </c>
      <c r="C14" s="33" t="n">
        <v>0.1</v>
      </c>
      <c r="D14" s="34" t="n"/>
      <c r="E14" s="35">
        <f>IF(D14="","",D14/5*C14*100)</f>
        <v/>
      </c>
      <c r="F14" s="17" t="n"/>
      <c r="G14" s="7" t="inlineStr">
        <is>
          <t>No user/owner blocks rollout</t>
        </is>
      </c>
    </row>
    <row r="15" ht="28" customHeight="1">
      <c r="B15" s="7" t="inlineStr">
        <is>
          <t>Value realization</t>
        </is>
      </c>
      <c r="C15" s="33" t="n">
        <v>0.1</v>
      </c>
      <c r="D15" s="34" t="n"/>
      <c r="E15" s="35">
        <f>IF(D15="","",D15/5*C15*100)</f>
        <v/>
      </c>
      <c r="F15" s="17" t="n"/>
      <c r="G15" s="7" t="inlineStr">
        <is>
          <t>No capacity use weakens ROI</t>
        </is>
      </c>
    </row>
    <row r="16" ht="28" customHeight="1">
      <c r="B16" s="7" t="inlineStr">
        <is>
          <t>Risk manageability</t>
        </is>
      </c>
      <c r="C16" s="33" t="n">
        <v>0.05</v>
      </c>
      <c r="D16" s="34" t="n"/>
      <c r="E16" s="35">
        <f>IF(D16="","",D16/5*C16*100)</f>
        <v/>
      </c>
      <c r="F16" s="17" t="n"/>
      <c r="G16" s="7" t="inlineStr">
        <is>
          <t>Compliance veto overrides score</t>
        </is>
      </c>
    </row>
    <row r="17">
      <c r="B17" s="7" t="inlineStr">
        <is>
          <t>Weighted score / 100</t>
        </is>
      </c>
      <c r="E17" s="35">
        <f>IF(COUNT(D8:D16)&lt;9,"",SUM(E8:E16))</f>
        <v/>
      </c>
    </row>
    <row r="18">
      <c r="B18" s="7" t="inlineStr">
        <is>
          <t>Evidence completeness</t>
        </is>
      </c>
      <c r="E18" s="36">
        <f>COUNT(D8:D16)/9</f>
        <v/>
      </c>
    </row>
    <row r="19"/>
    <row r="20"/>
    <row r="21" ht="22" customHeight="1">
      <c r="B21" s="4" t="inlineStr">
        <is>
          <t>Hard gates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/>
    <row r="23">
      <c r="B23" s="15" t="inlineStr">
        <is>
          <t>Gate</t>
        </is>
      </c>
      <c r="C23" s="15" t="inlineStr">
        <is>
          <t>Requirement</t>
        </is>
      </c>
      <c r="D23" s="15" t="inlineStr">
        <is>
          <t>Status</t>
        </is>
      </c>
      <c r="E23" s="15" t="inlineStr">
        <is>
          <t>Owner</t>
        </is>
      </c>
      <c r="F23" s="15" t="inlineStr">
        <is>
          <t>Evidence / action</t>
        </is>
      </c>
      <c r="G23" s="15" t="inlineStr">
        <is>
          <t>Impact</t>
        </is>
      </c>
    </row>
    <row r="24" ht="32" customHeight="1">
      <c r="B24" s="7" t="inlineStr">
        <is>
          <t>Bounded recurring unit</t>
        </is>
      </c>
      <c r="C24" s="7" t="inlineStr">
        <is>
          <t>Start, finish, user and outcome</t>
        </is>
      </c>
      <c r="D24" s="17" t="n"/>
      <c r="E24" s="17" t="n"/>
      <c r="F24" s="17" t="n"/>
      <c r="G24" s="7" t="inlineStr">
        <is>
          <t>Fail/unknown limits or blocks progress</t>
        </is>
      </c>
    </row>
    <row r="25" ht="32" customHeight="1">
      <c r="B25" s="7" t="inlineStr">
        <is>
          <t>Permissible data path</t>
        </is>
      </c>
      <c r="C25" s="7" t="inlineStr">
        <is>
          <t>Authorized pilot-data option</t>
        </is>
      </c>
      <c r="D25" s="17" t="n"/>
      <c r="E25" s="17" t="n"/>
      <c r="F25" s="17" t="n"/>
      <c r="G25" s="7" t="inlineStr">
        <is>
          <t>Fail/unknown limits or blocks progress</t>
        </is>
      </c>
    </row>
    <row r="26" ht="32" customHeight="1">
      <c r="B26" s="7" t="inlineStr">
        <is>
          <t>Qualified reviewer</t>
        </is>
      </c>
      <c r="C26" s="7" t="inlineStr">
        <is>
          <t>Competent case-level verification</t>
        </is>
      </c>
      <c r="D26" s="17" t="n"/>
      <c r="E26" s="17" t="n"/>
      <c r="F26" s="17" t="n"/>
      <c r="G26" s="7" t="inlineStr">
        <is>
          <t>Fail/unknown limits or blocks progress</t>
        </is>
      </c>
    </row>
    <row r="27" ht="32" customHeight="1">
      <c r="B27" s="7" t="inlineStr">
        <is>
          <t>Legal / contractual permission</t>
        </is>
      </c>
      <c r="C27" s="7" t="inlineStr">
        <is>
          <t>Responsible firm confirmation</t>
        </is>
      </c>
      <c r="D27" s="17" t="n"/>
      <c r="E27" s="17" t="n"/>
      <c r="F27" s="17" t="n"/>
      <c r="G27" s="7" t="inlineStr">
        <is>
          <t>Fail/unknown limits or blocks progress</t>
        </is>
      </c>
    </row>
    <row r="28" ht="32" customHeight="1">
      <c r="B28" s="7" t="inlineStr">
        <is>
          <t>Verification method</t>
        </is>
      </c>
      <c r="C28" s="7" t="inlineStr">
        <is>
          <t>Baseline and quality measurable</t>
        </is>
      </c>
      <c r="D28" s="17" t="n"/>
      <c r="E28" s="17" t="n"/>
      <c r="F28" s="17" t="n"/>
      <c r="G28" s="7" t="inlineStr">
        <is>
          <t>Fail/unknown limits or blocks progress</t>
        </is>
      </c>
    </row>
    <row r="29" ht="32" customHeight="1">
      <c r="B29" s="7" t="inlineStr">
        <is>
          <t>Accountable owners</t>
        </is>
      </c>
      <c r="C29" s="7" t="inlineStr">
        <is>
          <t>Business, control and pilot owners</t>
        </is>
      </c>
      <c r="D29" s="17" t="n"/>
      <c r="E29" s="17" t="n"/>
      <c r="F29" s="17" t="n"/>
      <c r="G29" s="7" t="inlineStr">
        <is>
          <t>Fail/unknown limits or blocks progress</t>
        </is>
      </c>
    </row>
    <row r="30" ht="32" customHeight="1">
      <c r="B30" s="7" t="inlineStr">
        <is>
          <t>Records / audit trail</t>
        </is>
      </c>
      <c r="C30" s="7" t="inlineStr">
        <is>
          <t>Required prompts, outputs, approvals, versions and actions retained</t>
        </is>
      </c>
      <c r="D30" s="17" t="n"/>
      <c r="E30" s="17" t="n"/>
      <c r="F30" s="17" t="n"/>
      <c r="G30" s="7" t="inlineStr">
        <is>
          <t>Fail/unknown limits or blocks progress</t>
        </is>
      </c>
    </row>
    <row r="31"/>
    <row r="32">
      <c r="B32" s="7" t="inlineStr">
        <is>
          <t>Hard-gate result</t>
        </is>
      </c>
      <c r="C32" s="37">
        <f>IF(COUNTIF(D24:D30,"Fail")&gt;0,"BLOCKED",IF(COUNTIF(D24:D30,"Pass")=7,"PASS","INCOMPLETE"))</f>
        <v/>
      </c>
    </row>
    <row r="33"/>
    <row r="34"/>
    <row r="35" ht="22" customHeight="1">
      <c r="B35" s="4" t="inlineStr">
        <is>
          <t>Minimum viable data map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/>
    <row r="37">
      <c r="B37" s="15" t="inlineStr">
        <is>
          <t>Data category</t>
        </is>
      </c>
      <c r="C37" s="15" t="inlineStr">
        <is>
          <t>Purpose</t>
        </is>
      </c>
      <c r="D37" s="15" t="inlineStr">
        <is>
          <t>Source system</t>
        </is>
      </c>
      <c r="E37" s="15" t="inlineStr">
        <is>
          <t>Sensitivity</t>
        </is>
      </c>
      <c r="F37" s="15" t="inlineStr">
        <is>
          <t>Permission</t>
        </is>
      </c>
      <c r="G37" s="15" t="inlineStr">
        <is>
          <t>Storage/region</t>
        </is>
      </c>
      <c r="H37" s="15" t="inlineStr">
        <is>
          <t>Retention/deletion</t>
        </is>
      </c>
      <c r="I37" s="15" t="inlineStr">
        <is>
          <t>Human access</t>
        </is>
      </c>
      <c r="J37" s="15" t="inlineStr">
        <is>
          <t>Agent access</t>
        </is>
      </c>
      <c r="K37" s="15" t="inlineStr">
        <is>
          <t>Status</t>
        </is>
      </c>
    </row>
    <row r="38"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</row>
    <row r="39"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  <row r="47"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</sheetData>
  <mergeCells count="5">
    <mergeCell ref="B35:K35"/>
    <mergeCell ref="B21:K21"/>
    <mergeCell ref="B2:K2"/>
    <mergeCell ref="B3:K3"/>
    <mergeCell ref="B5:K5"/>
  </mergeCells>
  <dataValidations count="5">
    <dataValidation sqref="D8:D16" showDropDown="0" showInputMessage="0" showErrorMessage="0" allowBlank="1" type="list">
      <formula1>"1,2,3,4,5"</formula1>
    </dataValidation>
    <dataValidation sqref="D24:D30" showDropDown="0" showInputMessage="0" showErrorMessage="0" allowBlank="1" type="list">
      <formula1>"Pass,Fail,Unknown,Specialist review"</formula1>
    </dataValidation>
    <dataValidation sqref="E38:E47" showDropDown="0" showInputMessage="0" showErrorMessage="0" allowBlank="1" type="list">
      <formula1>"Public,Internal,Confidential,Personal,Financial,Credential"</formula1>
    </dataValidation>
    <dataValidation sqref="F38:F47" showDropDown="0" showInputMessage="0" showErrorMessage="0" allowBlank="1" type="list">
      <formula1>"Permitted,Blocked,Unknown,Specialist review"</formula1>
    </dataValidation>
    <dataValidation sqref="K38:K47" showDropDown="0" showInputMessage="0" showErrorMessage="0" allowBlank="1" type="list">
      <formula1>"Ready,Blocked,Unknown,Not needed"</formula1>
    </dataValidation>
  </dataValidations>
  <pageMargins left="0.75" right="0.75" top="1" bottom="1" header="0.5" footer="0.5"/>
  <headerFooter>
    <oddHeader/>
    <oddFooter>&amp;CGenerated 2026-09-22 | Preliminary screening tool — human review required</oddFooter>
    <evenHeader/>
    <evenFooter/>
    <firstHeader/>
    <firstFooter/>
  </headerFooter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3" customWidth="1" min="2" max="2"/>
    <col width="22" customWidth="1" min="3" max="3"/>
    <col width="29" customWidth="1" min="4" max="4"/>
    <col width="38" customWidth="1" min="5" max="5"/>
    <col width="38" customWidth="1" min="6" max="6"/>
    <col width="32" customWidth="1" min="7" max="7"/>
    <col width="25" customWidth="1" min="8" max="8"/>
  </cols>
  <sheetData>
    <row r="1"/>
    <row r="2" ht="30" customHeight="1">
      <c r="B2" s="1" t="inlineStr">
        <is>
          <t>MVP Implementation Plan</t>
        </is>
      </c>
      <c r="C2" s="2" t="n"/>
      <c r="D2" s="2" t="n"/>
      <c r="E2" s="2" t="n"/>
      <c r="F2" s="2" t="n"/>
      <c r="G2" s="2" t="n"/>
      <c r="H2" s="2" t="n"/>
    </row>
    <row r="3" ht="28" customHeight="1">
      <c r="B3" s="3" t="inlineStr">
        <is>
          <t>Governed architecture, staged delivery, QA, pilot measures and commercial structure.</t>
        </is>
      </c>
      <c r="C3" s="2" t="n"/>
      <c r="D3" s="2" t="n"/>
      <c r="E3" s="2" t="n"/>
      <c r="F3" s="2" t="n"/>
      <c r="G3" s="2" t="n"/>
      <c r="H3" s="2" t="n"/>
    </row>
    <row r="4"/>
    <row r="5" ht="22" customHeight="1">
      <c r="B5" s="4" t="inlineStr">
        <is>
          <t>Target architecture</t>
        </is>
      </c>
      <c r="C5" s="5" t="n"/>
      <c r="D5" s="5" t="n"/>
      <c r="E5" s="5" t="n"/>
      <c r="F5" s="5" t="n"/>
      <c r="G5" s="5" t="n"/>
      <c r="H5" s="5" t="n"/>
    </row>
    <row r="6"/>
    <row r="7">
      <c r="B7" s="15" t="inlineStr">
        <is>
          <t>Component</t>
        </is>
      </c>
      <c r="C7" s="15" t="inlineStr">
        <is>
          <t>Purpose</t>
        </is>
      </c>
      <c r="D7" s="15" t="inlineStr">
        <is>
          <t>MVP boundary</t>
        </is>
      </c>
      <c r="E7" s="15" t="inlineStr">
        <is>
          <t>Key control</t>
        </is>
      </c>
      <c r="F7" s="15" t="inlineStr">
        <is>
          <t>Owner</t>
        </is>
      </c>
      <c r="G7" s="15" t="inlineStr">
        <is>
          <t>Acceptance evidence</t>
        </is>
      </c>
    </row>
    <row r="8" ht="42" customHeight="1">
      <c r="B8" s="13" t="inlineStr">
        <is>
          <t>Chat interface</t>
        </is>
      </c>
      <c r="C8" s="13" t="inlineStr">
        <is>
          <t>Consent, routing, questions, progress, pause</t>
        </is>
      </c>
      <c r="D8" s="13" t="inlineStr">
        <is>
          <t>Text only; no live documents</t>
        </is>
      </c>
      <c r="E8" s="13" t="inlineStr">
        <is>
          <t>Privacy warning and interruption</t>
        </is>
      </c>
      <c r="F8" s="13" t="inlineStr">
        <is>
          <t>Product</t>
        </is>
      </c>
      <c r="G8" s="13" t="inlineStr">
        <is>
          <t>Transcript tests</t>
        </is>
      </c>
    </row>
    <row r="9" ht="42" customHeight="1">
      <c r="B9" s="13" t="inlineStr">
        <is>
          <t>Orchestrator</t>
        </is>
      </c>
      <c r="C9" s="13" t="inlineStr">
        <is>
          <t>State, probes, completion and escalation</t>
        </is>
      </c>
      <c r="D9" s="13" t="inlineStr">
        <is>
          <t>Four role routes and handoff</t>
        </is>
      </c>
      <c r="E9" s="13" t="inlineStr">
        <is>
          <t>No silent inference</t>
        </is>
      </c>
      <c r="F9" s="13" t="inlineStr">
        <is>
          <t>Engineering</t>
        </is>
      </c>
      <c r="G9" s="13" t="inlineStr">
        <is>
          <t>State tests</t>
        </is>
      </c>
    </row>
    <row r="10" ht="42" customHeight="1">
      <c r="B10" s="13" t="inlineStr">
        <is>
          <t>Evidence registry</t>
        </is>
      </c>
      <c r="C10" s="13" t="inlineStr">
        <is>
          <t>Values, ranges and provenance</t>
        </is>
      </c>
      <c r="D10" s="13" t="inlineStr">
        <is>
          <t>Structured use-case records</t>
        </is>
      </c>
      <c r="E10" s="13" t="inlineStr">
        <is>
          <t>Immutable source/grade</t>
        </is>
      </c>
      <c r="F10" s="13" t="inlineStr">
        <is>
          <t>Data</t>
        </is>
      </c>
      <c r="G10" s="13" t="inlineStr">
        <is>
          <t>Schema audit</t>
        </is>
      </c>
    </row>
    <row r="11" ht="42" customHeight="1">
      <c r="B11" s="13" t="inlineStr">
        <is>
          <t>ROI engine</t>
        </is>
      </c>
      <c r="C11" s="13" t="inlineStr">
        <is>
          <t>Capacity, benefit, cost, break-even</t>
        </is>
      </c>
      <c r="D11" s="13" t="inlineStr">
        <is>
          <t>Preliminary scenarios</t>
        </is>
      </c>
      <c r="E11" s="13" t="inlineStr">
        <is>
          <t>Capacity separated from ROI</t>
        </is>
      </c>
      <c r="F11" s="13" t="inlineStr">
        <is>
          <t>Finance/Product</t>
        </is>
      </c>
      <c r="G11" s="13" t="inlineStr">
        <is>
          <t>Formula reconciliation</t>
        </is>
      </c>
    </row>
    <row r="12" ht="42" customHeight="1">
      <c r="B12" s="13" t="inlineStr">
        <is>
          <t>Control gate</t>
        </is>
      </c>
      <c r="C12" s="13" t="inlineStr">
        <is>
          <t>Approvals, prohibitions and status</t>
        </is>
      </c>
      <c r="D12" s="13" t="inlineStr">
        <is>
          <t>Pilot gate, not legal opinion</t>
        </is>
      </c>
      <c r="E12" s="13" t="inlineStr">
        <is>
          <t>Veto overrides score</t>
        </is>
      </c>
      <c r="F12" s="13" t="inlineStr">
        <is>
          <t>Compliance</t>
        </is>
      </c>
      <c r="G12" s="13" t="inlineStr">
        <is>
          <t>Signed gate record</t>
        </is>
      </c>
    </row>
    <row r="13" ht="42" customHeight="1">
      <c r="B13" s="13" t="inlineStr">
        <is>
          <t>Secure artifacts</t>
        </is>
      </c>
      <c r="C13" s="13" t="inlineStr">
        <is>
          <t>Approved redacted evidence</t>
        </is>
      </c>
      <c r="D13" s="13" t="inlineStr">
        <is>
          <t>Separate authorized flow</t>
        </is>
      </c>
      <c r="E13" s="13" t="inlineStr">
        <is>
          <t>Purpose/viewers/retention</t>
        </is>
      </c>
      <c r="F13" s="13" t="inlineStr">
        <is>
          <t>Security</t>
        </is>
      </c>
      <c r="G13" s="13" t="inlineStr">
        <is>
          <t>Upload/deletion test</t>
        </is>
      </c>
    </row>
    <row r="14" ht="42" customHeight="1">
      <c r="B14" s="13" t="inlineStr">
        <is>
          <t>Agent workspace</t>
        </is>
      </c>
      <c r="C14" s="13" t="inlineStr">
        <is>
          <t>Named agent users and tasks</t>
        </is>
      </c>
      <c r="D14" s="13" t="inlineStr">
        <is>
          <t>Bounded preparation only</t>
        </is>
      </c>
      <c r="E14" s="13" t="inlineStr">
        <is>
          <t>Least privilege and approvals</t>
        </is>
      </c>
      <c r="F14" s="13" t="inlineStr">
        <is>
          <t>Platform</t>
        </is>
      </c>
      <c r="G14" s="13" t="inlineStr">
        <is>
          <t>Access tests</t>
        </is>
      </c>
    </row>
    <row r="15" ht="42" customHeight="1">
      <c r="B15" s="13" t="inlineStr">
        <is>
          <t>System connector</t>
        </is>
      </c>
      <c r="C15" s="13" t="inlineStr">
        <is>
          <t>Approved API/UI integration</t>
        </is>
      </c>
      <c r="D15" s="13" t="inlineStr">
        <is>
          <t>One pilot system</t>
        </is>
      </c>
      <c r="E15" s="13" t="inlineStr">
        <is>
          <t>Scoped account, reversible actions</t>
        </is>
      </c>
      <c r="F15" s="13" t="inlineStr">
        <is>
          <t>Engineering</t>
        </is>
      </c>
      <c r="G15" s="13" t="inlineStr">
        <is>
          <t>Integration test</t>
        </is>
      </c>
    </row>
    <row r="16" ht="42" customHeight="1">
      <c r="B16" s="13" t="inlineStr">
        <is>
          <t>Audit/monitoring</t>
        </is>
      </c>
      <c r="C16" s="13" t="inlineStr">
        <is>
          <t>Versions, outputs, actions, overrides, incidents</t>
        </is>
      </c>
      <c r="D16" s="13" t="inlineStr">
        <is>
          <t>Pilot dashboard/export</t>
        </is>
      </c>
      <c r="E16" s="13" t="inlineStr">
        <is>
          <t>Retention and review cadence</t>
        </is>
      </c>
      <c r="F16" s="13" t="inlineStr">
        <is>
          <t>Compliance/Ops</t>
        </is>
      </c>
      <c r="G16" s="13" t="inlineStr">
        <is>
          <t>Audit sample</t>
        </is>
      </c>
    </row>
    <row r="17"/>
    <row r="18"/>
    <row r="19" ht="22" customHeight="1">
      <c r="B19" s="4" t="inlineStr">
        <is>
          <t>Delivery phases</t>
        </is>
      </c>
      <c r="C19" s="5" t="n"/>
      <c r="D19" s="5" t="n"/>
      <c r="E19" s="5" t="n"/>
      <c r="F19" s="5" t="n"/>
      <c r="G19" s="5" t="n"/>
      <c r="H19" s="5" t="n"/>
    </row>
    <row r="20"/>
    <row r="21">
      <c r="B21" s="15" t="inlineStr">
        <is>
          <t>Phase</t>
        </is>
      </c>
      <c r="C21" s="15" t="inlineStr">
        <is>
          <t>Span</t>
        </is>
      </c>
      <c r="D21" s="15" t="inlineStr">
        <is>
          <t>Main work</t>
        </is>
      </c>
      <c r="E21" s="15" t="inlineStr">
        <is>
          <t>Exit deliverable</t>
        </is>
      </c>
      <c r="F21" s="15" t="inlineStr">
        <is>
          <t>Decision gate</t>
        </is>
      </c>
      <c r="G21" s="15" t="inlineStr">
        <is>
          <t>Owners</t>
        </is>
      </c>
    </row>
    <row r="22" ht="44" customHeight="1">
      <c r="B22" s="13" t="inlineStr">
        <is>
          <t>0 Governance</t>
        </is>
      </c>
      <c r="C22" s="13" t="inlineStr">
        <is>
          <t>Week 0–1</t>
        </is>
      </c>
      <c r="D22" s="13" t="inlineStr">
        <is>
          <t>Notice, retention, prohibited data, escalation, owners, perimeter</t>
        </is>
      </c>
      <c r="E22" s="13" t="inlineStr">
        <is>
          <t>Approved policy/data flow</t>
        </is>
      </c>
      <c r="F22" s="13" t="inlineStr">
        <is>
          <t>No collection before approval</t>
        </is>
      </c>
      <c r="G22" s="13" t="inlineStr">
        <is>
          <t>Sponsor; Compliance; Security</t>
        </is>
      </c>
    </row>
    <row r="23" ht="44" customHeight="1">
      <c r="B23" s="13" t="inlineStr">
        <is>
          <t>1 Configure MVP</t>
        </is>
      </c>
      <c r="C23" s="13" t="inlineStr">
        <is>
          <t>Week 1–3</t>
        </is>
      </c>
      <c r="D23" s="13" t="inlineStr">
        <is>
          <t>Routes, schema, evidence, formulas, access, versioning</t>
        </is>
      </c>
      <c r="E23" s="13" t="inlineStr">
        <is>
          <t>Testable MVP</t>
        </is>
      </c>
      <c r="F23" s="13" t="inlineStr">
        <is>
          <t>Design review</t>
        </is>
      </c>
      <c r="G23" s="13" t="inlineStr">
        <is>
          <t>Product; Engineering; Data</t>
        </is>
      </c>
    </row>
    <row r="24" ht="44" customHeight="1">
      <c r="B24" s="13" t="inlineStr">
        <is>
          <t>2 Pre-release QA</t>
        </is>
      </c>
      <c r="C24" s="13" t="inlineStr">
        <is>
          <t>Week 3–4</t>
        </is>
      </c>
      <c r="D24" s="13" t="inlineStr">
        <is>
          <t>Adversarial privacy, branching, extraction, escalation and formula tests</t>
        </is>
      </c>
      <c r="E24" s="13" t="inlineStr">
        <is>
          <t>QA report</t>
        </is>
      </c>
      <c r="F24" s="13" t="inlineStr">
        <is>
          <t>Control sign-off</t>
        </is>
      </c>
      <c r="G24" s="13" t="inlineStr">
        <is>
          <t>QA; Compliance; Security</t>
        </is>
      </c>
    </row>
    <row r="25" ht="44" customHeight="1">
      <c r="B25" s="13" t="inlineStr">
        <is>
          <t>3 Discovery alpha</t>
        </is>
      </c>
      <c r="C25" s="13" t="inlineStr">
        <is>
          <t>Week 5</t>
        </is>
      </c>
      <c r="D25" s="13" t="inlineStr">
        <is>
          <t>Internal/low-risk sessions without production client data</t>
        </is>
      </c>
      <c r="E25" s="13" t="inlineStr">
        <is>
          <t>Structured handoffs</t>
        </is>
      </c>
      <c r="F25" s="13" t="inlineStr">
        <is>
          <t>Fidelity accepted</t>
        </is>
      </c>
      <c r="G25" s="13" t="inlineStr">
        <is>
          <t>Product; SME</t>
        </is>
      </c>
    </row>
    <row r="26" ht="44" customHeight="1">
      <c r="B26" s="13" t="inlineStr">
        <is>
          <t>4 Client discovery</t>
        </is>
      </c>
      <c r="C26" s="13" t="inlineStr">
        <is>
          <t>Week 6</t>
        </is>
      </c>
      <c r="D26" s="13" t="inlineStr">
        <is>
          <t>Targeted adviser, operations, compliance and finance routes</t>
        </is>
      </c>
      <c r="E26" s="13" t="inlineStr">
        <is>
          <t>Bounded candidate/gaps</t>
        </is>
      </c>
      <c r="F26" s="13" t="inlineStr">
        <is>
          <t>Stop / Measure / Prototype</t>
        </is>
      </c>
      <c r="G26" s="13" t="inlineStr">
        <is>
          <t>Client owners</t>
        </is>
      </c>
    </row>
    <row r="27" ht="44" customHeight="1">
      <c r="B27" s="13" t="inlineStr">
        <is>
          <t>5 Measurement sprint</t>
        </is>
      </c>
      <c r="C27" s="13" t="inlineStr">
        <is>
          <t>Week 6–8</t>
        </is>
      </c>
      <c r="D27" s="13" t="inlineStr">
        <is>
          <t>Sample 5–10 normal cases</t>
        </is>
      </c>
      <c r="E27" s="13" t="inlineStr">
        <is>
          <t>Validated baseline</t>
        </is>
      </c>
      <c r="F27" s="13" t="inlineStr">
        <is>
          <t>Evidence sufficient</t>
        </is>
      </c>
      <c r="G27" s="13" t="inlineStr">
        <is>
          <t>Operations; Data</t>
        </is>
      </c>
    </row>
    <row r="28" ht="44" customHeight="1">
      <c r="B28" s="13" t="inlineStr">
        <is>
          <t>6 Prototype</t>
        </is>
      </c>
      <c r="C28" s="13" t="inlineStr">
        <is>
          <t>Week 8–10</t>
        </is>
      </c>
      <c r="D28" s="13" t="inlineStr">
        <is>
          <t>Synthetic/redacted preparation test</t>
        </is>
      </c>
      <c r="E28" s="13" t="inlineStr">
        <is>
          <t>Technical/control evidence</t>
        </is>
      </c>
      <c r="F28" s="13" t="inlineStr">
        <is>
          <t>Guardrails pass</t>
        </is>
      </c>
      <c r="G28" s="13" t="inlineStr">
        <is>
          <t>Engineering; Compliance</t>
        </is>
      </c>
    </row>
    <row r="29" ht="44" customHeight="1">
      <c r="B29" s="13" t="inlineStr">
        <is>
          <t>7 Supervised pilot</t>
        </is>
      </c>
      <c r="C29" s="13" t="inlineStr">
        <is>
          <t>Week 10–12+</t>
        </is>
      </c>
      <c r="D29" s="13" t="inlineStr">
        <is>
          <t>Matched pre/post in deployment-like conditions</t>
        </is>
      </c>
      <c r="E29" s="13" t="inlineStr">
        <is>
          <t>Measured economics and quality</t>
        </is>
      </c>
      <c r="F29" s="13" t="inlineStr">
        <is>
          <t>Deploy / revise / stop</t>
        </is>
      </c>
      <c r="G29" s="13" t="inlineStr">
        <is>
          <t>Business; Compliance; Finance</t>
        </is>
      </c>
    </row>
    <row r="30" ht="44" customHeight="1">
      <c r="B30" s="13" t="inlineStr">
        <is>
          <t>8 Production</t>
        </is>
      </c>
      <c r="C30" s="13" t="inlineStr">
        <is>
          <t>After approval</t>
        </is>
      </c>
      <c r="D30" s="13" t="inlineStr">
        <is>
          <t>Harden access, monitoring, support and change control</t>
        </is>
      </c>
      <c r="E30" s="13" t="inlineStr">
        <is>
          <t>Release package</t>
        </is>
      </c>
      <c r="F30" s="13" t="inlineStr">
        <is>
          <t>Formal go/no-go</t>
        </is>
      </c>
      <c r="G30" s="13" t="inlineStr">
        <is>
          <t>Executive/control owners</t>
        </is>
      </c>
    </row>
    <row r="31"/>
    <row r="32"/>
    <row r="33" ht="22" customHeight="1">
      <c r="B33" s="4" t="inlineStr">
        <is>
          <t>Pilot measures</t>
        </is>
      </c>
      <c r="C33" s="5" t="n"/>
      <c r="D33" s="5" t="n"/>
      <c r="E33" s="5" t="n"/>
      <c r="F33" s="5" t="n"/>
      <c r="G33" s="5" t="n"/>
      <c r="H33" s="5" t="n"/>
    </row>
    <row r="34"/>
    <row r="35">
      <c r="B35" s="15" t="inlineStr">
        <is>
          <t>Measure</t>
        </is>
      </c>
      <c r="C35" s="15" t="inlineStr">
        <is>
          <t>Logic</t>
        </is>
      </c>
      <c r="D35" s="15" t="inlineStr">
        <is>
          <t>Evidence</t>
        </is>
      </c>
      <c r="E35" s="15" t="inlineStr">
        <is>
          <t>Stop / guardrail</t>
        </is>
      </c>
      <c r="F35" s="15" t="inlineStr">
        <is>
          <t>Owner</t>
        </is>
      </c>
      <c r="G35" s="15" t="inlineStr">
        <is>
          <t>Cadence</t>
        </is>
      </c>
    </row>
    <row r="36" ht="42" customHeight="1">
      <c r="B36" s="13" t="inlineStr">
        <is>
          <t>Eligible volume</t>
        </is>
      </c>
      <c r="C36" s="13" t="inlineStr">
        <is>
          <t>Same definition before/after</t>
        </is>
      </c>
      <c r="D36" s="13" t="inlineStr">
        <is>
          <t>Queue/system count</t>
        </is>
      </c>
      <c r="E36" s="13" t="inlineStr">
        <is>
          <t>Scope drift invalidates comparison</t>
        </is>
      </c>
      <c r="F36" s="13" t="inlineStr">
        <is>
          <t>Operations</t>
        </is>
      </c>
      <c r="G36" s="13" t="inlineStr">
        <is>
          <t>Weekly</t>
        </is>
      </c>
    </row>
    <row r="37" ht="42" customHeight="1">
      <c r="B37" s="13" t="inlineStr">
        <is>
          <t>Human time</t>
        </is>
      </c>
      <c r="C37" s="13" t="inlineStr">
        <is>
          <t>Creation + review + correction + fallback</t>
        </is>
      </c>
      <c r="D37" s="13" t="inlineStr">
        <is>
          <t>Timestamps/diary/task record</t>
        </is>
      </c>
      <c r="E37" s="13" t="inlineStr">
        <is>
          <t>Do not omit verification/exceptions</t>
        </is>
      </c>
      <c r="F37" s="13" t="inlineStr">
        <is>
          <t>Operations</t>
        </is>
      </c>
      <c r="G37" s="13" t="inlineStr">
        <is>
          <t>Per case</t>
        </is>
      </c>
    </row>
    <row r="38" ht="42" customHeight="1">
      <c r="B38" s="13" t="inlineStr">
        <is>
          <t>Quality/severity</t>
        </is>
      </c>
      <c r="C38" s="13" t="inlineStr">
        <is>
          <t>Correctness, completeness, compliance, traceability, timeliness</t>
        </is>
      </c>
      <c r="D38" s="13" t="inlineStr">
        <is>
          <t>Reviewer checklist/defect log</t>
        </is>
      </c>
      <c r="E38" s="13" t="inlineStr">
        <is>
          <t>Material unsafe error pauses pilot</t>
        </is>
      </c>
      <c r="F38" s="13" t="inlineStr">
        <is>
          <t>Qualified reviewer</t>
        </is>
      </c>
      <c r="G38" s="13" t="inlineStr">
        <is>
          <t>Every initial case</t>
        </is>
      </c>
    </row>
    <row r="39" ht="42" customHeight="1">
      <c r="B39" s="13" t="inlineStr">
        <is>
          <t>Adoption</t>
        </is>
      </c>
      <c r="C39" s="13" t="inlineStr">
        <is>
          <t>Eligible cases processed and bypass reasons</t>
        </is>
      </c>
      <c r="D39" s="13" t="inlineStr">
        <is>
          <t>Usage/abandonment log</t>
        </is>
      </c>
      <c r="E39" s="13" t="inlineStr">
        <is>
          <t>Low sustained use weakens value</t>
        </is>
      </c>
      <c r="F39" s="13" t="inlineStr">
        <is>
          <t>Product</t>
        </is>
      </c>
      <c r="G39" s="13" t="inlineStr">
        <is>
          <t>Weekly</t>
        </is>
      </c>
    </row>
    <row r="40" ht="42" customHeight="1">
      <c r="B40" s="13" t="inlineStr">
        <is>
          <t>Overrides</t>
        </is>
      </c>
      <c r="C40" s="13" t="inlineStr">
        <is>
          <t>Changes, rejection and reasons</t>
        </is>
      </c>
      <c r="D40" s="13" t="inlineStr">
        <is>
          <t>Approval/action log</t>
        </is>
      </c>
      <c r="E40" s="13" t="inlineStr">
        <is>
          <t>Repeated critical override redesigns</t>
        </is>
      </c>
      <c r="F40" s="13" t="inlineStr">
        <is>
          <t>Compliance</t>
        </is>
      </c>
      <c r="G40" s="13" t="inlineStr">
        <is>
          <t>Weekly</t>
        </is>
      </c>
    </row>
    <row r="41" ht="42" customHeight="1">
      <c r="B41" s="13" t="inlineStr">
        <is>
          <t>Economics</t>
        </is>
      </c>
      <c r="C41" s="13" t="inlineStr">
        <is>
          <t>Stopped spend, avoided plan, margin or loss reduction</t>
        </is>
      </c>
      <c r="D41" s="13" t="inlineStr">
        <is>
          <t>Finance record</t>
        </is>
      </c>
      <c r="E41" s="13" t="inlineStr">
        <is>
          <t>Capacity alone is not ROI</t>
        </is>
      </c>
      <c r="F41" s="13" t="inlineStr">
        <is>
          <t>Finance</t>
        </is>
      </c>
      <c r="G41" s="13" t="inlineStr">
        <is>
          <t>Monthly</t>
        </is>
      </c>
    </row>
    <row r="42" ht="42" customHeight="1">
      <c r="B42" s="13" t="inlineStr">
        <is>
          <t>Incidents</t>
        </is>
      </c>
      <c r="C42" s="13" t="inlineStr">
        <is>
          <t>Disclosure, access or leakage</t>
        </is>
      </c>
      <c r="D42" s="13" t="inlineStr">
        <is>
          <t>Incident register</t>
        </is>
      </c>
      <c r="E42" s="13" t="inlineStr">
        <is>
          <t>Serious incident stops pilot</t>
        </is>
      </c>
      <c r="F42" s="13" t="inlineStr">
        <is>
          <t>Security/Compliance</t>
        </is>
      </c>
      <c r="G42" s="13" t="inlineStr">
        <is>
          <t>Continuous</t>
        </is>
      </c>
    </row>
    <row r="43" ht="42" customHeight="1">
      <c r="B43" s="13" t="inlineStr">
        <is>
          <t>Changes</t>
        </is>
      </c>
      <c r="C43" s="13" t="inlineStr">
        <is>
          <t>Prompt, model, tool and route versions</t>
        </is>
      </c>
      <c r="D43" s="13" t="inlineStr">
        <is>
          <t>Change log</t>
        </is>
      </c>
      <c r="E43" s="13" t="inlineStr">
        <is>
          <t>Material change retested</t>
        </is>
      </c>
      <c r="F43" s="13" t="inlineStr">
        <is>
          <t>Engineering/QA</t>
        </is>
      </c>
      <c r="G43" s="13" t="inlineStr">
        <is>
          <t>Each release</t>
        </is>
      </c>
    </row>
    <row r="44"/>
    <row r="45"/>
    <row r="46" ht="22" customHeight="1">
      <c r="B46" s="4" t="inlineStr">
        <is>
          <t>Commercial model</t>
        </is>
      </c>
      <c r="C46" s="5" t="n"/>
      <c r="D46" s="5" t="n"/>
      <c r="E46" s="5" t="n"/>
      <c r="F46" s="5" t="n"/>
      <c r="G46" s="5" t="n"/>
      <c r="H46" s="5" t="n"/>
    </row>
    <row r="47"/>
    <row r="48" ht="36" customHeight="1">
      <c r="B48" s="38" t="inlineStr">
        <is>
          <t>Discovery/measurement</t>
        </is>
      </c>
      <c r="C48" s="13" t="inlineStr">
        <is>
          <t>Fixed fee for assessment, evidence plan and baseline sprint.</t>
        </is>
      </c>
      <c r="F48" s="27" t="inlineStr">
        <is>
          <t>No promised ROI.</t>
        </is>
      </c>
    </row>
    <row r="49" ht="36" customHeight="1">
      <c r="B49" s="38" t="inlineStr">
        <is>
          <t>Implementation</t>
        </is>
      </c>
      <c r="C49" s="13" t="inlineStr">
        <is>
          <t>Milestone fee by deliverable family and bounded scope.</t>
        </is>
      </c>
      <c r="F49" s="27" t="inlineStr">
        <is>
          <t>Include data, integration, controls, testing and training.</t>
        </is>
      </c>
    </row>
    <row r="50" ht="36" customHeight="1">
      <c r="B50" s="38" t="inlineStr">
        <is>
          <t>Recurring service</t>
        </is>
      </c>
      <c r="C50" s="13" t="inlineStr">
        <is>
          <t>Platform, hosting, monitoring, support, maintenance, review and governance.</t>
        </is>
      </c>
      <c r="F50" s="27" t="inlineStr">
        <is>
          <t>Tie scope to service levels and control duties.</t>
        </is>
      </c>
    </row>
    <row r="51" ht="36" customHeight="1">
      <c r="B51" s="38" t="inlineStr">
        <is>
          <t>Outcome-linked option</t>
        </is>
      </c>
      <c r="C51" s="13" t="inlineStr">
        <is>
          <t>Only with attributable baseline, finance owner and contractual measurement.</t>
        </is>
      </c>
      <c r="F51" s="27" t="inlineStr">
        <is>
          <t>Never price from ambiguous time saved.</t>
        </is>
      </c>
    </row>
  </sheetData>
  <mergeCells count="14">
    <mergeCell ref="C50:E50"/>
    <mergeCell ref="B19:H19"/>
    <mergeCell ref="F49:H49"/>
    <mergeCell ref="F51:H51"/>
    <mergeCell ref="C49:E49"/>
    <mergeCell ref="F50:H50"/>
    <mergeCell ref="C48:E48"/>
    <mergeCell ref="B2:H2"/>
    <mergeCell ref="B33:H33"/>
    <mergeCell ref="F48:H48"/>
    <mergeCell ref="B3:H3"/>
    <mergeCell ref="B5:H5"/>
    <mergeCell ref="C51:E51"/>
    <mergeCell ref="B46:H46"/>
  </mergeCells>
  <pageMargins left="0.75" right="0.75" top="1" bottom="1" header="0.5" footer="0.5"/>
  <headerFooter>
    <oddHeader/>
    <oddFooter>&amp;CGenerated 2026-09-22 | Preliminary screening tool — human review required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2026-09-22T11:04:01Z</dcterms:created>
  <dcterms:modified xmlns:dcterms="http://purl.org/dc/terms/" xmlns:xsi="http://www.w3.org/2001/XMLSchema-instance" xsi:type="dcterms:W3CDTF">2026-09-22T11:04:01Z</dcterms:modified>
</cp:coreProperties>
</file>